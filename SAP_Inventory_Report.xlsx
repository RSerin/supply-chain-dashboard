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cke\Downloads\"/>
    </mc:Choice>
  </mc:AlternateContent>
  <xr:revisionPtr revIDLastSave="0" documentId="8_{8033C392-F1A3-46C0-8AA4-70E72ABACC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2" sheetId="5" r:id="rId1"/>
    <sheet name="SAP_MM60_Export" sheetId="1" r:id="rId2"/>
    <sheet name="Pivot_Analysis" sheetId="2" r:id="rId3"/>
    <sheet name="KPI_Summary" sheetId="3" r:id="rId4"/>
  </sheets>
  <definedNames>
    <definedName name="_xlnm._FilterDatabase" localSheetId="1" hidden="1">SAP_MM60_Export!$A$6:$M$56</definedName>
  </definedName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" i="1" l="1"/>
  <c r="K57" i="1"/>
  <c r="J57" i="1"/>
  <c r="I57" i="1"/>
  <c r="H57" i="1"/>
  <c r="G57" i="1"/>
  <c r="F57" i="1"/>
  <c r="E57" i="1"/>
</calcChain>
</file>

<file path=xl/sharedStrings.xml><?xml version="1.0" encoding="utf-8"?>
<sst xmlns="http://schemas.openxmlformats.org/spreadsheetml/2006/main" count="402" uniqueCount="127">
  <si>
    <t>SAP MM60 — Inventory / Fulfillment Analysis Report</t>
  </si>
  <si>
    <t>Company Code:</t>
  </si>
  <si>
    <t>DataCo Global (DC01)</t>
  </si>
  <si>
    <t>MRP Controller:</t>
  </si>
  <si>
    <t>MC1</t>
  </si>
  <si>
    <t>Created By:</t>
  </si>
  <si>
    <t>Supply Chain Analytics</t>
  </si>
  <si>
    <t>Plant:</t>
  </si>
  <si>
    <t>ALL PLANTS — CONSOLIDATED</t>
  </si>
  <si>
    <t>Fiscal Year:</t>
  </si>
  <si>
    <t>2015–2018</t>
  </si>
  <si>
    <t>Source System:</t>
  </si>
  <si>
    <t>SAP ECC 6.0 / MM Module</t>
  </si>
  <si>
    <t>Report Date:</t>
  </si>
  <si>
    <t>2026-06-01</t>
  </si>
  <si>
    <t>Currency:</t>
  </si>
  <si>
    <t>USD</t>
  </si>
  <si>
    <t>Report ID:</t>
  </si>
  <si>
    <t>MM60-DC-001</t>
  </si>
  <si>
    <t>Material Group
(MATKL)</t>
  </si>
  <si>
    <t>Plant
(WERKS)</t>
  </si>
  <si>
    <t>Storage Loc
(LGORT)</t>
  </si>
  <si>
    <t>MRP Controller
(DISPO)</t>
  </si>
  <si>
    <t>Total Orders
(MENGE EA)</t>
  </si>
  <si>
    <t>Total Revenue
(WRBTR USD)</t>
  </si>
  <si>
    <t>Total Profit
(NETWR USD)</t>
  </si>
  <si>
    <t>Avg Ship
Delay (Days)</t>
  </si>
  <si>
    <t>Late Risk %
(RISK_PCT)</t>
  </si>
  <si>
    <t>On-Time Rate %
(OTD_PCT)</t>
  </si>
  <si>
    <t>On-Time Count
(CNT_OTD)</t>
  </si>
  <si>
    <t>Late Count
(CNT_LATE)</t>
  </si>
  <si>
    <t>Risk Status
(ZSTAT)</t>
  </si>
  <si>
    <t>Accessories</t>
  </si>
  <si>
    <t>DC01</t>
  </si>
  <si>
    <t>WH-A</t>
  </si>
  <si>
    <t>MEDIUM</t>
  </si>
  <si>
    <t>As Seen on  TV!</t>
  </si>
  <si>
    <t xml:space="preserve">Baby </t>
  </si>
  <si>
    <t>Baseball &amp; Softball</t>
  </si>
  <si>
    <t>Basketball</t>
  </si>
  <si>
    <t xml:space="preserve">Books </t>
  </si>
  <si>
    <t>Boxing &amp; MMA</t>
  </si>
  <si>
    <t xml:space="preserve">CDs </t>
  </si>
  <si>
    <t xml:space="preserve">Cameras </t>
  </si>
  <si>
    <t>Camping &amp; Hiking</t>
  </si>
  <si>
    <t>Cardio Equipment</t>
  </si>
  <si>
    <t>Children's Clothing</t>
  </si>
  <si>
    <t>Cleats</t>
  </si>
  <si>
    <t>Computers</t>
  </si>
  <si>
    <t>Consumer Electronics</t>
  </si>
  <si>
    <t>Crafts</t>
  </si>
  <si>
    <t>DVDs</t>
  </si>
  <si>
    <t>Electronics</t>
  </si>
  <si>
    <t>Fishing</t>
  </si>
  <si>
    <t>Fitness Accessories</t>
  </si>
  <si>
    <t>Garden</t>
  </si>
  <si>
    <t>Girls' Apparel</t>
  </si>
  <si>
    <t>Golf Apparel</t>
  </si>
  <si>
    <t>Golf Bags &amp; Carts</t>
  </si>
  <si>
    <t>HIGH RISK</t>
  </si>
  <si>
    <t>Golf Balls</t>
  </si>
  <si>
    <t>Golf Gloves</t>
  </si>
  <si>
    <t>Golf Shoes</t>
  </si>
  <si>
    <t>Health and Beauty</t>
  </si>
  <si>
    <t>Hockey</t>
  </si>
  <si>
    <t>Hunting &amp; Shooting</t>
  </si>
  <si>
    <t>Indoor/Outdoor Games</t>
  </si>
  <si>
    <t>Kids' Golf Clubs</t>
  </si>
  <si>
    <t>Lacrosse</t>
  </si>
  <si>
    <t>Men's Clothing</t>
  </si>
  <si>
    <t>Men's Footwear</t>
  </si>
  <si>
    <t>Men's Golf Clubs</t>
  </si>
  <si>
    <t>LOW</t>
  </si>
  <si>
    <t>Music</t>
  </si>
  <si>
    <t>Pet Supplies</t>
  </si>
  <si>
    <t>Shop By Sport</t>
  </si>
  <si>
    <t>Soccer</t>
  </si>
  <si>
    <t>Sporting Goods</t>
  </si>
  <si>
    <t>Strength Training</t>
  </si>
  <si>
    <t>Tennis &amp; Racquet</t>
  </si>
  <si>
    <t>Toys</t>
  </si>
  <si>
    <t>Trade-In</t>
  </si>
  <si>
    <t>Video Games</t>
  </si>
  <si>
    <t>Water Sports</t>
  </si>
  <si>
    <t>Women's Apparel</t>
  </si>
  <si>
    <t>Women's Clothing</t>
  </si>
  <si>
    <t>Women's Golf Clubs</t>
  </si>
  <si>
    <t>GRAND TOTAL</t>
  </si>
  <si>
    <t>Supply Chain Pivot — Category Risk Analysis</t>
  </si>
  <si>
    <t>TOP 10 CATEGORIES BY REVENUE</t>
  </si>
  <si>
    <t>Rank</t>
  </si>
  <si>
    <t>Category</t>
  </si>
  <si>
    <t>Revenue (USD)</t>
  </si>
  <si>
    <t>Profit (USD)</t>
  </si>
  <si>
    <t>Orders</t>
  </si>
  <si>
    <t>Avg Delay</t>
  </si>
  <si>
    <t>Late Risk %</t>
  </si>
  <si>
    <t>OTD Rate %</t>
  </si>
  <si>
    <t>TOP 10 HIGH-RISK CATEGORIES (by Late Delivery Risk %)</t>
  </si>
  <si>
    <t>Supply Chain KPI Dashboard — DataCo Global</t>
  </si>
  <si>
    <t>Total Orders Analyzed</t>
  </si>
  <si>
    <t>Avg Shipping Delay</t>
  </si>
  <si>
    <t>180,519</t>
  </si>
  <si>
    <t>0.57 days</t>
  </si>
  <si>
    <t>Records from DataCo ERP export</t>
  </si>
  <si>
    <t>Actual vs. scheduled ship days</t>
  </si>
  <si>
    <t>On-Time Delivery Rate</t>
  </si>
  <si>
    <t>Late Delivery Risk Rate</t>
  </si>
  <si>
    <t>17.84%</t>
  </si>
  <si>
    <t>54.83%</t>
  </si>
  <si>
    <t>Orders delivered on scheduled date</t>
  </si>
  <si>
    <t>ML-flagged high-risk orders (SAP field)</t>
  </si>
  <si>
    <t>Late Delivery Rate</t>
  </si>
  <si>
    <t>Total Revenue</t>
  </si>
  <si>
    <t>$36,784,735</t>
  </si>
  <si>
    <t>Orders past scheduled delivery date</t>
  </si>
  <si>
    <t>Gross sales across all markets</t>
  </si>
  <si>
    <t>Cancelled Orders</t>
  </si>
  <si>
    <t>Avg Profit Per Order</t>
  </si>
  <si>
    <t>7,754</t>
  </si>
  <si>
    <t>$21.97</t>
  </si>
  <si>
    <t>Shipping canceled in period</t>
  </si>
  <si>
    <t>Benefit per order (SAP NETWR equivalent)</t>
  </si>
  <si>
    <t>Row Labels</t>
  </si>
  <si>
    <t>Grand Total</t>
  </si>
  <si>
    <t>Sum of Total Revenue
(WRBTR USD)</t>
  </si>
  <si>
    <t>Average of Late Risk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</si>
</sst>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555555"/>
      <name val="Arial"/>
    </font>
    <font>
      <sz val="9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996600"/>
      <name val="Arial"/>
    </font>
    <font>
      <b/>
      <sz val="10"/>
      <color rgb="FFCC0000"/>
      <name val="Arial"/>
    </font>
    <font>
      <b/>
      <sz val="10"/>
      <color rgb="FF006600"/>
      <name val="Arial"/>
    </font>
    <font>
      <b/>
      <sz val="10"/>
      <color rgb="FF000000"/>
      <name val="Arial"/>
    </font>
    <font>
      <b/>
      <sz val="13"/>
      <color rgb="FFFFFFFF"/>
      <name val="Arial"/>
    </font>
    <font>
      <b/>
      <sz val="20"/>
      <color rgb="FF003366"/>
      <name val="Arial"/>
    </font>
    <font>
      <i/>
      <sz val="8"/>
      <color rgb="FF555555"/>
      <name val="Arial"/>
    </font>
    <font>
      <b/>
      <sz val="20"/>
      <color rgb="FF1B5E20"/>
      <name val="Arial"/>
    </font>
    <font>
      <b/>
      <sz val="20"/>
      <color rgb="FFB71C1C"/>
      <name val="Arial"/>
    </font>
    <font>
      <b/>
      <sz val="20"/>
      <color rgb="FF4A148C"/>
      <name val="Arial"/>
    </font>
    <font>
      <b/>
      <sz val="20"/>
      <color rgb="FFE65100"/>
      <name val="Arial"/>
    </font>
    <font>
      <b/>
      <sz val="20"/>
      <color rgb="FF880E4F"/>
      <name val="Arial"/>
    </font>
    <font>
      <b/>
      <sz val="20"/>
      <color rgb="FF004D40"/>
      <name val="Arial"/>
    </font>
    <font>
      <b/>
      <sz val="20"/>
      <color rgb="FF1A237E"/>
      <name val="Arial"/>
    </font>
  </fonts>
  <fills count="19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E8EEF5"/>
      </patternFill>
    </fill>
    <fill>
      <patternFill patternType="solid">
        <fgColor rgb="FFFFF3CC"/>
      </patternFill>
    </fill>
    <fill>
      <patternFill patternType="solid">
        <fgColor rgb="FFFFFFFF"/>
      </patternFill>
    </fill>
    <fill>
      <patternFill patternType="solid">
        <fgColor rgb="FFFFCCCC"/>
      </patternFill>
    </fill>
    <fill>
      <patternFill patternType="solid">
        <fgColor rgb="FFCCFFCC"/>
      </patternFill>
    </fill>
    <fill>
      <patternFill patternType="solid">
        <fgColor rgb="FFD9D9D9"/>
      </patternFill>
    </fill>
    <fill>
      <patternFill patternType="solid">
        <fgColor rgb="FFCC0000"/>
      </patternFill>
    </fill>
    <fill>
      <patternFill patternType="solid">
        <fgColor rgb="FFFFF0F0"/>
      </patternFill>
    </fill>
    <fill>
      <patternFill patternType="solid">
        <fgColor rgb="FFF8F9FA"/>
      </patternFill>
    </fill>
    <fill>
      <patternFill patternType="solid">
        <fgColor rgb="FF1B5E20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E65100"/>
      </patternFill>
    </fill>
    <fill>
      <patternFill patternType="solid">
        <fgColor rgb="FF880E4F"/>
      </patternFill>
    </fill>
    <fill>
      <patternFill patternType="solid">
        <fgColor rgb="FF004D40"/>
      </patternFill>
    </fill>
    <fill>
      <patternFill patternType="solid">
        <fgColor rgb="FF1A237E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3366"/>
      </left>
      <right style="medium">
        <color rgb="FF003366"/>
      </right>
      <top/>
      <bottom style="thin">
        <color rgb="FF003366"/>
      </bottom>
      <diagonal/>
    </border>
    <border>
      <left style="medium">
        <color rgb="FF003366"/>
      </left>
      <right style="medium">
        <color rgb="FF003366"/>
      </right>
      <top/>
      <bottom style="medium">
        <color rgb="FF003366"/>
      </bottom>
      <diagonal/>
    </border>
    <border>
      <left style="medium">
        <color rgb="FF1B5E20"/>
      </left>
      <right style="medium">
        <color rgb="FF1B5E20"/>
      </right>
      <top/>
      <bottom style="thin">
        <color rgb="FF1B5E20"/>
      </bottom>
      <diagonal/>
    </border>
    <border>
      <left style="medium">
        <color rgb="FF1B5E20"/>
      </left>
      <right style="medium">
        <color rgb="FF1B5E20"/>
      </right>
      <top/>
      <bottom style="medium">
        <color rgb="FF1B5E20"/>
      </bottom>
      <diagonal/>
    </border>
    <border>
      <left style="medium">
        <color rgb="FFB71C1C"/>
      </left>
      <right style="medium">
        <color rgb="FFB71C1C"/>
      </right>
      <top/>
      <bottom style="thin">
        <color rgb="FFB71C1C"/>
      </bottom>
      <diagonal/>
    </border>
    <border>
      <left style="medium">
        <color rgb="FFB71C1C"/>
      </left>
      <right style="medium">
        <color rgb="FFB71C1C"/>
      </right>
      <top/>
      <bottom style="medium">
        <color rgb="FFB71C1C"/>
      </bottom>
      <diagonal/>
    </border>
    <border>
      <left style="medium">
        <color rgb="FF4A148C"/>
      </left>
      <right style="medium">
        <color rgb="FF4A148C"/>
      </right>
      <top/>
      <bottom style="thin">
        <color rgb="FF4A148C"/>
      </bottom>
      <diagonal/>
    </border>
    <border>
      <left style="medium">
        <color rgb="FF4A148C"/>
      </left>
      <right style="medium">
        <color rgb="FF4A148C"/>
      </right>
      <top/>
      <bottom style="medium">
        <color rgb="FF4A148C"/>
      </bottom>
      <diagonal/>
    </border>
    <border>
      <left style="medium">
        <color rgb="FFE65100"/>
      </left>
      <right style="medium">
        <color rgb="FFE65100"/>
      </right>
      <top/>
      <bottom style="thin">
        <color rgb="FFE65100"/>
      </bottom>
      <diagonal/>
    </border>
    <border>
      <left style="medium">
        <color rgb="FFE65100"/>
      </left>
      <right style="medium">
        <color rgb="FFE65100"/>
      </right>
      <top/>
      <bottom style="medium">
        <color rgb="FFE65100"/>
      </bottom>
      <diagonal/>
    </border>
    <border>
      <left style="medium">
        <color rgb="FF880E4F"/>
      </left>
      <right style="medium">
        <color rgb="FF880E4F"/>
      </right>
      <top/>
      <bottom style="thin">
        <color rgb="FF880E4F"/>
      </bottom>
      <diagonal/>
    </border>
    <border>
      <left style="medium">
        <color rgb="FF880E4F"/>
      </left>
      <right style="medium">
        <color rgb="FF880E4F"/>
      </right>
      <top/>
      <bottom style="medium">
        <color rgb="FF880E4F"/>
      </bottom>
      <diagonal/>
    </border>
    <border>
      <left style="medium">
        <color rgb="FF004D40"/>
      </left>
      <right style="medium">
        <color rgb="FF004D40"/>
      </right>
      <top/>
      <bottom style="thin">
        <color rgb="FF004D40"/>
      </bottom>
      <diagonal/>
    </border>
    <border>
      <left style="medium">
        <color rgb="FF004D40"/>
      </left>
      <right style="medium">
        <color rgb="FF004D40"/>
      </right>
      <top/>
      <bottom style="medium">
        <color rgb="FF004D40"/>
      </bottom>
      <diagonal/>
    </border>
    <border>
      <left style="medium">
        <color rgb="FF1A237E"/>
      </left>
      <right style="medium">
        <color rgb="FF1A237E"/>
      </right>
      <top/>
      <bottom style="thin">
        <color rgb="FF1A237E"/>
      </bottom>
      <diagonal/>
    </border>
    <border>
      <left style="medium">
        <color rgb="FF1A237E"/>
      </left>
      <right style="medium">
        <color rgb="FF1A237E"/>
      </right>
      <top/>
      <bottom style="medium">
        <color rgb="FF1A237E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2" fontId="5" fillId="3" borderId="1" xfId="0" applyNumberFormat="1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right" vertical="center"/>
    </xf>
    <xf numFmtId="164" fontId="9" fillId="8" borderId="1" xfId="0" applyNumberFormat="1" applyFont="1" applyFill="1" applyBorder="1" applyAlignment="1">
      <alignment horizontal="right" vertical="center"/>
    </xf>
    <xf numFmtId="2" fontId="9" fillId="8" borderId="1" xfId="0" applyNumberFormat="1" applyFont="1" applyFill="1" applyBorder="1" applyAlignment="1">
      <alignment horizontal="right" vertical="center"/>
    </xf>
    <xf numFmtId="10" fontId="9" fillId="8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center" vertical="center" wrapText="1"/>
    </xf>
    <xf numFmtId="10" fontId="5" fillId="3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left" vertical="center"/>
    </xf>
    <xf numFmtId="2" fontId="5" fillId="5" borderId="1" xfId="0" applyNumberFormat="1" applyFont="1" applyFill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164" fontId="5" fillId="10" borderId="1" xfId="0" applyNumberFormat="1" applyFont="1" applyFill="1" applyBorder="1" applyAlignment="1">
      <alignment horizontal="left" vertical="center"/>
    </xf>
    <xf numFmtId="3" fontId="5" fillId="10" borderId="1" xfId="0" applyNumberFormat="1" applyFont="1" applyFill="1" applyBorder="1" applyAlignment="1">
      <alignment horizontal="left" vertical="center"/>
    </xf>
    <xf numFmtId="2" fontId="5" fillId="10" borderId="1" xfId="0" applyNumberFormat="1" applyFont="1" applyFill="1" applyBorder="1" applyAlignment="1">
      <alignment horizontal="center" vertical="center" wrapText="1"/>
    </xf>
    <xf numFmtId="10" fontId="5" fillId="10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9" fillId="8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2" fillId="11" borderId="13" xfId="0" applyFont="1" applyFill="1" applyBorder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15" fillId="11" borderId="8" xfId="0" applyFont="1" applyFill="1" applyBorder="1" applyAlignment="1">
      <alignment horizontal="center" vertical="center" wrapText="1"/>
    </xf>
    <xf numFmtId="0" fontId="18" fillId="11" borderId="14" xfId="0" applyFont="1" applyFill="1" applyBorder="1" applyAlignment="1">
      <alignment horizontal="center" vertical="center" wrapText="1"/>
    </xf>
    <xf numFmtId="0" fontId="19" fillId="11" borderId="16" xfId="0" applyFont="1" applyFill="1" applyBorder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12" fillId="11" borderId="9" xfId="0" applyFont="1" applyFill="1" applyBorder="1" applyAlignment="1">
      <alignment horizontal="center" vertical="center" wrapText="1"/>
    </xf>
    <xf numFmtId="0" fontId="12" fillId="11" borderId="15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horizontal="center" vertical="center" wrapText="1"/>
    </xf>
    <xf numFmtId="0" fontId="4" fillId="18" borderId="0" xfId="0" applyFont="1" applyFill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16" fillId="11" borderId="10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7" fillId="11" borderId="12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4 B" refreshedDate="46174.248019675928" createdVersion="8" refreshedVersion="8" minRefreshableVersion="3" recordCount="51" xr:uid="{52458DDB-7927-46A2-ACC3-3C6F454214C2}">
  <cacheSource type="worksheet">
    <worksheetSource ref="A6:M57" sheet="SAP_MM60_Export"/>
  </cacheSource>
  <cacheFields count="13">
    <cacheField name="Material Group_x000a_(MATKL)" numFmtId="0">
      <sharedItems count="51">
        <s v="Accessories"/>
        <s v="As Seen on  TV!"/>
        <s v="Baby "/>
        <s v="Baseball &amp; Softball"/>
        <s v="Basketball"/>
        <s v="Books "/>
        <s v="Boxing &amp; MMA"/>
        <s v="CDs "/>
        <s v="Cameras "/>
        <s v="Camping &amp; Hiking"/>
        <s v="Cardio Equipment"/>
        <s v="Children's Clothing"/>
        <s v="Cleats"/>
        <s v="Computers"/>
        <s v="Consumer Electronics"/>
        <s v="Crafts"/>
        <s v="DVDs"/>
        <s v="Electronics"/>
        <s v="Fishing"/>
        <s v="Fitness Accessories"/>
        <s v="Garden"/>
        <s v="Girls' Apparel"/>
        <s v="Golf Apparel"/>
        <s v="Golf Bags &amp; Carts"/>
        <s v="Golf Balls"/>
        <s v="Golf Gloves"/>
        <s v="Golf Shoes"/>
        <s v="Health and Beauty"/>
        <s v="Hockey"/>
        <s v="Hunting &amp; Shooting"/>
        <s v="Indoor/Outdoor Games"/>
        <s v="Kids' Golf Clubs"/>
        <s v="Lacrosse"/>
        <s v="Men's Clothing"/>
        <s v="Men's Footwear"/>
        <s v="Men's Golf Clubs"/>
        <s v="Music"/>
        <s v="Pet Supplies"/>
        <s v="Shop By Sport"/>
        <s v="Soccer"/>
        <s v="Sporting Goods"/>
        <s v="Strength Training"/>
        <s v="Tennis &amp; Racquet"/>
        <s v="Toys"/>
        <s v="Trade-In"/>
        <s v="Video Games"/>
        <s v="Water Sports"/>
        <s v="Women's Apparel"/>
        <s v="Women's Clothing"/>
        <s v="Women's Golf Clubs"/>
        <s v="GRAND TOTAL"/>
      </sharedItems>
    </cacheField>
    <cacheField name="Plant_x000a_(WERKS)" numFmtId="0">
      <sharedItems containsBlank="1"/>
    </cacheField>
    <cacheField name="Storage Loc_x000a_(LGORT)" numFmtId="0">
      <sharedItems containsBlank="1"/>
    </cacheField>
    <cacheField name="MRP Controller_x000a_(DISPO)" numFmtId="0">
      <sharedItems containsBlank="1"/>
    </cacheField>
    <cacheField name="Total Orders_x000a_(MENGE EA)" numFmtId="3">
      <sharedItems containsSemiMixedTypes="0" containsString="0" containsNumber="1" containsInteger="1" minValue="61" maxValue="180519"/>
    </cacheField>
    <cacheField name="Total Revenue_x000a_(WRBTR USD)" numFmtId="164">
      <sharedItems containsSemiMixedTypes="0" containsString="0" containsNumber="1" minValue="3059.59" maxValue="36784734.99000001"/>
    </cacheField>
    <cacheField name="Total Profit_x000a_(NETWR USD)" numFmtId="164">
      <sharedItems containsSemiMixedTypes="0" containsString="0" containsNumber="1" minValue="332.31" maxValue="3966902.9799999995"/>
    </cacheField>
    <cacheField name="Avg Ship_x000a_Delay (Days)" numFmtId="2">
      <sharedItems containsSemiMixedTypes="0" containsString="0" containsNumber="1" minValue="0.33" maxValue="0.77"/>
    </cacheField>
    <cacheField name="Late Risk %_x000a_(RISK_PCT)" numFmtId="10">
      <sharedItems containsSemiMixedTypes="0" containsString="0" containsNumber="1" minValue="0.47699999999999998" maxValue="0.68849999999999989"/>
    </cacheField>
    <cacheField name="On-Time Rate %_x000a_(OTD_PCT)" numFmtId="10">
      <sharedItems containsSemiMixedTypes="0" containsString="0" containsNumber="1" minValue="7.46E-2" maxValue="0.23910000000000001"/>
    </cacheField>
    <cacheField name="On-Time Count_x000a_(CNT_OTD)" numFmtId="3">
      <sharedItems containsSemiMixedTypes="0" containsString="0" containsNumber="1" containsInteger="1" minValue="5" maxValue="32196"/>
    </cacheField>
    <cacheField name="Late Count_x000a_(CNT_LATE)" numFmtId="3">
      <sharedItems containsSemiMixedTypes="0" containsString="0" containsNumber="1" containsInteger="1" minValue="37" maxValue="98977"/>
    </cacheField>
    <cacheField name="Risk Status_x000a_(ZSTAT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DC01"/>
    <s v="WH-A"/>
    <s v="MC1"/>
    <n v="1780"/>
    <n v="133671.51"/>
    <n v="16643.52"/>
    <n v="0.59"/>
    <n v="0.56969999999999998"/>
    <n v="0.15559999999999999"/>
    <n v="277"/>
    <n v="1014"/>
    <s v="MEDIUM"/>
  </r>
  <r>
    <x v="1"/>
    <s v="DC01"/>
    <s v="WH-A"/>
    <s v="MC1"/>
    <n v="68"/>
    <n v="20597.939999999999"/>
    <n v="714.43"/>
    <n v="0.66"/>
    <n v="0.57350000000000001"/>
    <n v="0.17649999999999999"/>
    <n v="12"/>
    <n v="39"/>
    <s v="MEDIUM"/>
  </r>
  <r>
    <x v="2"/>
    <s v="DC01"/>
    <s v="WH-A"/>
    <s v="MC1"/>
    <n v="207"/>
    <n v="12229.56"/>
    <n v="1525.03"/>
    <n v="0.44"/>
    <n v="0.52659999999999996"/>
    <n v="0.19320000000000001"/>
    <n v="40"/>
    <n v="109"/>
    <s v="MEDIUM"/>
  </r>
  <r>
    <x v="3"/>
    <s v="DC01"/>
    <s v="WH-A"/>
    <s v="MC1"/>
    <n v="632"/>
    <n v="94057.15"/>
    <n v="12762.13"/>
    <n v="0.57999999999999996"/>
    <n v="0.55220000000000002"/>
    <n v="0.18509999999999999"/>
    <n v="117"/>
    <n v="349"/>
    <s v="MEDIUM"/>
  </r>
  <r>
    <x v="4"/>
    <s v="DC01"/>
    <s v="WH-A"/>
    <s v="MC1"/>
    <n v="67"/>
    <n v="27099.33"/>
    <n v="1845.67"/>
    <n v="0.48"/>
    <n v="0.55220000000000002"/>
    <n v="7.46E-2"/>
    <n v="5"/>
    <n v="37"/>
    <s v="MEDIUM"/>
  </r>
  <r>
    <x v="5"/>
    <s v="DC01"/>
    <s v="WH-A"/>
    <s v="MC1"/>
    <n v="405"/>
    <n v="12587.4"/>
    <n v="883.01"/>
    <n v="0.53"/>
    <n v="0.56540000000000001"/>
    <n v="0.1852"/>
    <n v="75"/>
    <n v="229"/>
    <s v="MEDIUM"/>
  </r>
  <r>
    <x v="6"/>
    <s v="DC01"/>
    <s v="WH-A"/>
    <s v="MC1"/>
    <n v="423"/>
    <n v="85205.41"/>
    <n v="8641.3700000000008"/>
    <n v="0.67"/>
    <n v="0.56259999999999999"/>
    <n v="0.18909999999999999"/>
    <n v="80"/>
    <n v="238"/>
    <s v="MEDIUM"/>
  </r>
  <r>
    <x v="7"/>
    <s v="DC01"/>
    <s v="WH-A"/>
    <s v="MC1"/>
    <n v="271"/>
    <n v="3059.59"/>
    <n v="383.85"/>
    <n v="0.46"/>
    <n v="0.52029999999999998"/>
    <n v="0.20300000000000001"/>
    <n v="55"/>
    <n v="141"/>
    <s v="MEDIUM"/>
  </r>
  <r>
    <x v="8"/>
    <s v="DC01"/>
    <s v="WH-A"/>
    <s v="MC1"/>
    <n v="592"/>
    <n v="267607.69"/>
    <n v="30289.8"/>
    <n v="0.65"/>
    <n v="0.58109999999999995"/>
    <n v="0.15540000000000001"/>
    <n v="92"/>
    <n v="344"/>
    <s v="MEDIUM"/>
  </r>
  <r>
    <x v="9"/>
    <s v="DC01"/>
    <s v="WH-A"/>
    <s v="MC1"/>
    <n v="13729"/>
    <n v="4118425.57"/>
    <n v="427455.57"/>
    <n v="0.55000000000000004"/>
    <n v="0.54530000000000001"/>
    <n v="0.18379999999999999"/>
    <n v="2523"/>
    <n v="7487"/>
    <s v="MEDIUM"/>
  </r>
  <r>
    <x v="10"/>
    <s v="DC01"/>
    <s v="WH-A"/>
    <s v="MC1"/>
    <n v="12487"/>
    <n v="3694843.2"/>
    <n v="383011.1"/>
    <n v="0.55000000000000004"/>
    <n v="0.54500000000000004"/>
    <n v="0.1779"/>
    <n v="2222"/>
    <n v="6805"/>
    <s v="MEDIUM"/>
  </r>
  <r>
    <x v="11"/>
    <s v="DC01"/>
    <s v="WH-A"/>
    <s v="MC1"/>
    <n v="652"/>
    <n v="232829.2"/>
    <n v="27178.1"/>
    <n v="0.57999999999999996"/>
    <n v="0.53369999999999995"/>
    <n v="0.1794"/>
    <n v="117"/>
    <n v="348"/>
    <s v="MEDIUM"/>
  </r>
  <r>
    <x v="12"/>
    <s v="DC01"/>
    <s v="WH-A"/>
    <s v="MC1"/>
    <n v="24551"/>
    <n v="4431942.78"/>
    <n v="494636.92"/>
    <n v="0.57999999999999996"/>
    <n v="0.54969999999999997"/>
    <n v="0.1812"/>
    <n v="4448"/>
    <n v="13496"/>
    <s v="MEDIUM"/>
  </r>
  <r>
    <x v="13"/>
    <s v="DC01"/>
    <s v="WH-A"/>
    <s v="MC1"/>
    <n v="442"/>
    <n v="663000"/>
    <n v="69656.81"/>
    <n v="0.45"/>
    <n v="0.50680000000000003"/>
    <n v="0.19"/>
    <n v="84"/>
    <n v="224"/>
    <s v="MEDIUM"/>
  </r>
  <r>
    <x v="14"/>
    <s v="DC01"/>
    <s v="WH-A"/>
    <s v="MC1"/>
    <n v="431"/>
    <n v="108991.28"/>
    <n v="13223.4"/>
    <n v="0.64"/>
    <n v="0.55220000000000002"/>
    <n v="0.16239999999999999"/>
    <n v="70"/>
    <n v="238"/>
    <s v="MEDIUM"/>
  </r>
  <r>
    <x v="15"/>
    <s v="DC01"/>
    <s v="WH-A"/>
    <s v="MC1"/>
    <n v="484"/>
    <n v="223356.33"/>
    <n v="25531.17"/>
    <n v="0.63"/>
    <n v="0.55990000000000006"/>
    <n v="0.17150000000000001"/>
    <n v="83"/>
    <n v="271"/>
    <s v="MEDIUM"/>
  </r>
  <r>
    <x v="16"/>
    <s v="DC01"/>
    <s v="WH-A"/>
    <s v="MC1"/>
    <n v="483"/>
    <n v="79395.539999999994"/>
    <n v="6655.43"/>
    <n v="0.53"/>
    <n v="0.53620000000000001"/>
    <n v="0.17599999999999999"/>
    <n v="85"/>
    <n v="259"/>
    <s v="MEDIUM"/>
  </r>
  <r>
    <x v="17"/>
    <s v="DC01"/>
    <s v="WH-A"/>
    <s v="MC1"/>
    <n v="3156"/>
    <n v="371034.64"/>
    <n v="40891.379999999997"/>
    <n v="0.56999999999999995"/>
    <n v="0.56079999999999997"/>
    <n v="0.1651"/>
    <n v="521"/>
    <n v="1770"/>
    <s v="MEDIUM"/>
  </r>
  <r>
    <x v="18"/>
    <s v="DC01"/>
    <s v="WH-A"/>
    <s v="MC1"/>
    <n v="17325"/>
    <n v="6929653.6900000004"/>
    <n v="756220.77"/>
    <n v="0.56000000000000005"/>
    <n v="0.54930000000000001"/>
    <n v="0.17580000000000001"/>
    <n v="3045"/>
    <n v="9516"/>
    <s v="MEDIUM"/>
  </r>
  <r>
    <x v="19"/>
    <s v="DC01"/>
    <s v="WH-A"/>
    <s v="MC1"/>
    <n v="309"/>
    <n v="35601.440000000002"/>
    <n v="5258.39"/>
    <n v="0.61"/>
    <n v="0.5696"/>
    <n v="0.16500000000000001"/>
    <n v="51"/>
    <n v="176"/>
    <s v="MEDIUM"/>
  </r>
  <r>
    <x v="20"/>
    <s v="DC01"/>
    <s v="WH-A"/>
    <s v="MC1"/>
    <n v="484"/>
    <n v="257768.73"/>
    <n v="33443.01"/>
    <n v="0.55000000000000004"/>
    <n v="0.55789999999999995"/>
    <n v="0.1653"/>
    <n v="80"/>
    <n v="270"/>
    <s v="MEDIUM"/>
  </r>
  <r>
    <x v="21"/>
    <s v="DC01"/>
    <s v="WH-A"/>
    <s v="MC1"/>
    <n v="1201"/>
    <n v="151706.20000000001"/>
    <n v="17288.57"/>
    <n v="0.59"/>
    <n v="0.55289999999999995"/>
    <n v="0.15740000000000001"/>
    <n v="189"/>
    <n v="664"/>
    <s v="MEDIUM"/>
  </r>
  <r>
    <x v="22"/>
    <s v="DC01"/>
    <s v="WH-A"/>
    <s v="MC1"/>
    <n v="441"/>
    <n v="34969.75"/>
    <n v="3496.31"/>
    <n v="0.47"/>
    <n v="0.51929999999999998"/>
    <n v="0.1905"/>
    <n v="84"/>
    <n v="229"/>
    <s v="MEDIUM"/>
  </r>
  <r>
    <x v="23"/>
    <s v="DC01"/>
    <s v="WH-A"/>
    <s v="MC1"/>
    <n v="61"/>
    <n v="10369.39"/>
    <n v="1810.07"/>
    <n v="0.77"/>
    <n v="0.68849999999999989"/>
    <n v="0.1148"/>
    <n v="7"/>
    <n v="42"/>
    <s v="HIGH RISK"/>
  </r>
  <r>
    <x v="24"/>
    <s v="DC01"/>
    <s v="WH-A"/>
    <s v="MC1"/>
    <n v="1475"/>
    <n v="77098.16"/>
    <n v="8342.67"/>
    <n v="0.55000000000000004"/>
    <n v="0.54579999999999995"/>
    <n v="0.16339999999999999"/>
    <n v="241"/>
    <n v="805"/>
    <s v="MEDIUM"/>
  </r>
  <r>
    <x v="25"/>
    <s v="DC01"/>
    <s v="WH-A"/>
    <s v="MC1"/>
    <n v="1070"/>
    <n v="116695.39"/>
    <n v="12975.49"/>
    <n v="0.62"/>
    <n v="0.56259999999999999"/>
    <n v="0.17480000000000001"/>
    <n v="187"/>
    <n v="602"/>
    <s v="MEDIUM"/>
  </r>
  <r>
    <x v="26"/>
    <s v="DC01"/>
    <s v="WH-A"/>
    <s v="MC1"/>
    <n v="524"/>
    <n v="107998"/>
    <n v="12406.07"/>
    <n v="0.57999999999999996"/>
    <n v="0.55530000000000002"/>
    <n v="0.17369999999999999"/>
    <n v="91"/>
    <n v="291"/>
    <s v="MEDIUM"/>
  </r>
  <r>
    <x v="27"/>
    <s v="DC01"/>
    <s v="WH-A"/>
    <s v="MC1"/>
    <n v="362"/>
    <n v="106080.48"/>
    <n v="9493.6299999999992"/>
    <n v="0.53"/>
    <n v="0.55799999999999994"/>
    <n v="0.16850000000000001"/>
    <n v="61"/>
    <n v="202"/>
    <s v="MEDIUM"/>
  </r>
  <r>
    <x v="28"/>
    <s v="DC01"/>
    <s v="WH-A"/>
    <s v="MC1"/>
    <n v="614"/>
    <n v="48360.73"/>
    <n v="5397.43"/>
    <n v="0.47"/>
    <n v="0.53579999999999994"/>
    <n v="0.16450000000000001"/>
    <n v="101"/>
    <n v="329"/>
    <s v="MEDIUM"/>
  </r>
  <r>
    <x v="29"/>
    <s v="DC01"/>
    <s v="WH-A"/>
    <s v="MC1"/>
    <n v="440"/>
    <n v="56848.42"/>
    <n v="5980"/>
    <n v="0.56000000000000005"/>
    <n v="0.56140000000000001"/>
    <n v="0.17269999999999999"/>
    <n v="76"/>
    <n v="247"/>
    <s v="MEDIUM"/>
  </r>
  <r>
    <x v="30"/>
    <s v="DC01"/>
    <s v="WH-A"/>
    <s v="MC1"/>
    <n v="19298"/>
    <n v="2888993.91"/>
    <n v="318451.43"/>
    <n v="0.56000000000000005"/>
    <n v="0.54749999999999999"/>
    <n v="0.17899999999999999"/>
    <n v="3454"/>
    <n v="10565"/>
    <s v="MEDIUM"/>
  </r>
  <r>
    <x v="31"/>
    <s v="DC01"/>
    <s v="WH-A"/>
    <s v="MC1"/>
    <n v="384"/>
    <n v="98797.58"/>
    <n v="9045.84"/>
    <n v="0.62"/>
    <n v="0.53390000000000004"/>
    <n v="0.17449999999999999"/>
    <n v="67"/>
    <n v="205"/>
    <s v="MEDIUM"/>
  </r>
  <r>
    <x v="32"/>
    <s v="DC01"/>
    <s v="WH-A"/>
    <s v="MC1"/>
    <n v="343"/>
    <n v="39464.79"/>
    <n v="4364.29"/>
    <n v="0.66"/>
    <n v="0.60060000000000002"/>
    <n v="0.1399"/>
    <n v="48"/>
    <n v="206"/>
    <s v="HIGH RISK"/>
  </r>
  <r>
    <x v="33"/>
    <s v="DC01"/>
    <s v="WH-A"/>
    <s v="MC1"/>
    <n v="208"/>
    <n v="43856.800000000003"/>
    <n v="2006.04"/>
    <n v="0.51"/>
    <n v="0.54330000000000001"/>
    <n v="0.16350000000000001"/>
    <n v="34"/>
    <n v="113"/>
    <s v="MEDIUM"/>
  </r>
  <r>
    <x v="34"/>
    <s v="DC01"/>
    <s v="WH-A"/>
    <s v="MC1"/>
    <n v="22246"/>
    <n v="2891757.66"/>
    <n v="311902.82"/>
    <n v="0.56000000000000005"/>
    <n v="0.54490000000000005"/>
    <n v="0.18149999999999999"/>
    <n v="4038"/>
    <n v="12121"/>
    <s v="MEDIUM"/>
  </r>
  <r>
    <x v="35"/>
    <s v="DC01"/>
    <s v="WH-A"/>
    <s v="MC1"/>
    <n v="283"/>
    <n v="47035.8"/>
    <n v="5517.99"/>
    <n v="0.33"/>
    <n v="0.47699999999999998"/>
    <n v="0.19789999999999999"/>
    <n v="56"/>
    <n v="135"/>
    <s v="LOW"/>
  </r>
  <r>
    <x v="36"/>
    <s v="DC01"/>
    <s v="WH-A"/>
    <s v="MC1"/>
    <n v="434"/>
    <n v="113122.1"/>
    <n v="14436.32"/>
    <n v="0.56999999999999995"/>
    <n v="0.57140000000000002"/>
    <n v="0.16589999999999999"/>
    <n v="72"/>
    <n v="248"/>
    <s v="MEDIUM"/>
  </r>
  <r>
    <x v="37"/>
    <s v="DC01"/>
    <s v="WH-A"/>
    <s v="MC1"/>
    <n v="492"/>
    <n v="41524.800000000003"/>
    <n v="3589.26"/>
    <n v="0.71"/>
    <n v="0.58939999999999992"/>
    <n v="0.185"/>
    <n v="91"/>
    <n v="290"/>
    <s v="MEDIUM"/>
  </r>
  <r>
    <x v="38"/>
    <s v="DC01"/>
    <s v="WH-A"/>
    <s v="MC1"/>
    <n v="10984"/>
    <n v="1309522.04"/>
    <n v="129813.96"/>
    <n v="0.57999999999999996"/>
    <n v="0.55149999999999999"/>
    <n v="0.1749"/>
    <n v="1921"/>
    <n v="6058"/>
    <s v="MEDIUM"/>
  </r>
  <r>
    <x v="39"/>
    <s v="DC01"/>
    <s v="WH-A"/>
    <s v="MC1"/>
    <n v="138"/>
    <n v="26477.05"/>
    <n v="3901.95"/>
    <n v="0.72"/>
    <n v="0.54349999999999998"/>
    <n v="0.23910000000000001"/>
    <n v="33"/>
    <n v="75"/>
    <s v="MEDIUM"/>
  </r>
  <r>
    <x v="40"/>
    <s v="DC01"/>
    <s v="WH-A"/>
    <s v="MC1"/>
    <n v="357"/>
    <n v="117006.75"/>
    <n v="12518.61"/>
    <n v="0.62"/>
    <n v="0.55459999999999998"/>
    <n v="0.15409999999999999"/>
    <n v="55"/>
    <n v="198"/>
    <s v="MEDIUM"/>
  </r>
  <r>
    <x v="41"/>
    <s v="DC01"/>
    <s v="WH-A"/>
    <s v="MC1"/>
    <n v="111"/>
    <n v="54895.53"/>
    <n v="332.31"/>
    <n v="0.67"/>
    <n v="0.5766"/>
    <n v="0.2072"/>
    <n v="23"/>
    <n v="64"/>
    <s v="MEDIUM"/>
  </r>
  <r>
    <x v="42"/>
    <s v="DC01"/>
    <s v="WH-A"/>
    <s v="MC1"/>
    <n v="328"/>
    <n v="44585.09"/>
    <n v="5747.98"/>
    <n v="0.65"/>
    <n v="0.55789999999999995"/>
    <n v="0.20119999999999999"/>
    <n v="66"/>
    <n v="183"/>
    <s v="MEDIUM"/>
  </r>
  <r>
    <x v="43"/>
    <s v="DC01"/>
    <s v="WH-A"/>
    <s v="MC1"/>
    <n v="529"/>
    <n v="6104.66"/>
    <n v="900.71"/>
    <n v="0.55000000000000004"/>
    <n v="0.55010000000000003"/>
    <n v="0.17580000000000001"/>
    <n v="93"/>
    <n v="291"/>
    <s v="MEDIUM"/>
  </r>
  <r>
    <x v="44"/>
    <s v="DC01"/>
    <s v="WH-A"/>
    <s v="MC1"/>
    <n v="974"/>
    <n v="68721.78"/>
    <n v="7915.37"/>
    <n v="0.63"/>
    <n v="0.55649999999999999"/>
    <n v="0.15609999999999999"/>
    <n v="152"/>
    <n v="542"/>
    <s v="MEDIUM"/>
  </r>
  <r>
    <x v="45"/>
    <s v="DC01"/>
    <s v="WH-A"/>
    <s v="MC1"/>
    <n v="838"/>
    <n v="33310.5"/>
    <n v="2717.52"/>
    <n v="0.57999999999999996"/>
    <n v="0.54299999999999993"/>
    <n v="0.18970000000000001"/>
    <n v="159"/>
    <n v="455"/>
    <s v="MEDIUM"/>
  </r>
  <r>
    <x v="46"/>
    <s v="DC01"/>
    <s v="WH-A"/>
    <s v="MC1"/>
    <n v="15540"/>
    <n v="3113844.68"/>
    <n v="325146.96000000002"/>
    <n v="0.56999999999999995"/>
    <n v="0.54810000000000003"/>
    <n v="0.1812"/>
    <n v="2816"/>
    <n v="8517"/>
    <s v="MEDIUM"/>
  </r>
  <r>
    <x v="47"/>
    <s v="DC01"/>
    <s v="WH-A"/>
    <s v="MC1"/>
    <n v="21035"/>
    <n v="3147800"/>
    <n v="350421.03"/>
    <n v="0.56000000000000005"/>
    <n v="0.54559999999999997"/>
    <n v="0.17849999999999999"/>
    <n v="3754"/>
    <n v="11476"/>
    <s v="MEDIUM"/>
  </r>
  <r>
    <x v="48"/>
    <s v="DC01"/>
    <s v="WH-A"/>
    <s v="MC1"/>
    <n v="650"/>
    <n v="140283"/>
    <n v="19102.849999999999"/>
    <n v="0.65"/>
    <n v="0.56459999999999999"/>
    <n v="0.18310000000000001"/>
    <n v="119"/>
    <n v="367"/>
    <s v="MEDIUM"/>
  </r>
  <r>
    <x v="49"/>
    <s v="DC01"/>
    <s v="WH-A"/>
    <s v="MC1"/>
    <n v="181"/>
    <n v="44545.97"/>
    <n v="5028.6400000000003"/>
    <n v="0.56000000000000005"/>
    <n v="0.53590000000000004"/>
    <n v="0.14360000000000001"/>
    <n v="26"/>
    <n v="97"/>
    <s v="MEDIUM"/>
  </r>
  <r>
    <x v="50"/>
    <m/>
    <m/>
    <m/>
    <n v="180519"/>
    <n v="36784734.99000001"/>
    <n v="3966902.9799999995"/>
    <n v="0.57719999999999982"/>
    <n v="0.55370999999999992"/>
    <n v="0.17326199999999997"/>
    <n v="32196"/>
    <n v="9897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B5EF9-79B2-4655-B26E-C054A4271B7D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5" firstHeaderRow="0" firstDataRow="1" firstDataCol="1"/>
  <pivotFields count="13">
    <pivotField axis="axisRow" showAll="0">
      <items count="52">
        <item x="0"/>
        <item x="1"/>
        <item x="2"/>
        <item x="3"/>
        <item x="4"/>
        <item x="5"/>
        <item x="6"/>
        <item x="8"/>
        <item x="9"/>
        <item x="10"/>
        <item x="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50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numFmtId="3" showAll="0"/>
    <pivotField dataField="1" numFmtId="164" showAll="0"/>
    <pivotField numFmtId="164" showAll="0"/>
    <pivotField numFmtId="2" showAll="0"/>
    <pivotField dataField="1" numFmtId="10" showAll="0"/>
    <pivotField numFmtId="10" showAll="0"/>
    <pivotField numFmtId="3" showAll="0"/>
    <pivotField numFmtId="3" showAll="0"/>
    <pivotField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_x000a_(WRBTR USD)" fld="5" baseField="0" baseItem="0" numFmtId="164"/>
    <dataField name="Average of Late Risk %" fld="8" subtotal="average" baseField="0" baseItem="0" numFmtId="1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5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EE89-91D0-447E-A197-31E14C70CC35}">
  <dimension ref="A3:C55"/>
  <sheetViews>
    <sheetView tabSelected="1" workbookViewId="0">
      <selection activeCell="C4" sqref="C4:C54"/>
    </sheetView>
  </sheetViews>
  <sheetFormatPr defaultRowHeight="15" x14ac:dyDescent="0.25"/>
  <cols>
    <col min="1" max="1" width="22" bestFit="1" customWidth="1"/>
    <col min="2" max="2" width="34.28515625" bestFit="1" customWidth="1"/>
    <col min="3" max="3" width="21" bestFit="1" customWidth="1"/>
  </cols>
  <sheetData>
    <row r="3" spans="1:3" x14ac:dyDescent="0.25">
      <c r="A3" s="69" t="s">
        <v>123</v>
      </c>
      <c r="B3" t="s">
        <v>125</v>
      </c>
      <c r="C3" t="s">
        <v>126</v>
      </c>
    </row>
    <row r="4" spans="1:3" x14ac:dyDescent="0.25">
      <c r="A4" s="70" t="s">
        <v>32</v>
      </c>
      <c r="B4" s="71">
        <v>133671.51</v>
      </c>
      <c r="C4" s="72">
        <v>0.56969999999999998</v>
      </c>
    </row>
    <row r="5" spans="1:3" x14ac:dyDescent="0.25">
      <c r="A5" s="70" t="s">
        <v>36</v>
      </c>
      <c r="B5" s="71">
        <v>20597.939999999999</v>
      </c>
      <c r="C5" s="72">
        <v>0.57350000000000001</v>
      </c>
    </row>
    <row r="6" spans="1:3" x14ac:dyDescent="0.25">
      <c r="A6" s="70" t="s">
        <v>37</v>
      </c>
      <c r="B6" s="71">
        <v>12229.56</v>
      </c>
      <c r="C6" s="72">
        <v>0.52659999999999996</v>
      </c>
    </row>
    <row r="7" spans="1:3" x14ac:dyDescent="0.25">
      <c r="A7" s="70" t="s">
        <v>38</v>
      </c>
      <c r="B7" s="71">
        <v>94057.15</v>
      </c>
      <c r="C7" s="72">
        <v>0.55220000000000002</v>
      </c>
    </row>
    <row r="8" spans="1:3" x14ac:dyDescent="0.25">
      <c r="A8" s="70" t="s">
        <v>39</v>
      </c>
      <c r="B8" s="71">
        <v>27099.33</v>
      </c>
      <c r="C8" s="72">
        <v>0.55220000000000002</v>
      </c>
    </row>
    <row r="9" spans="1:3" x14ac:dyDescent="0.25">
      <c r="A9" s="70" t="s">
        <v>40</v>
      </c>
      <c r="B9" s="71">
        <v>12587.4</v>
      </c>
      <c r="C9" s="72">
        <v>0.56540000000000001</v>
      </c>
    </row>
    <row r="10" spans="1:3" x14ac:dyDescent="0.25">
      <c r="A10" s="70" t="s">
        <v>41</v>
      </c>
      <c r="B10" s="71">
        <v>85205.41</v>
      </c>
      <c r="C10" s="72">
        <v>0.56259999999999999</v>
      </c>
    </row>
    <row r="11" spans="1:3" x14ac:dyDescent="0.25">
      <c r="A11" s="70" t="s">
        <v>43</v>
      </c>
      <c r="B11" s="71">
        <v>267607.69</v>
      </c>
      <c r="C11" s="72">
        <v>0.58109999999999995</v>
      </c>
    </row>
    <row r="12" spans="1:3" x14ac:dyDescent="0.25">
      <c r="A12" s="70" t="s">
        <v>44</v>
      </c>
      <c r="B12" s="71">
        <v>4118425.57</v>
      </c>
      <c r="C12" s="72">
        <v>0.54530000000000001</v>
      </c>
    </row>
    <row r="13" spans="1:3" x14ac:dyDescent="0.25">
      <c r="A13" s="70" t="s">
        <v>45</v>
      </c>
      <c r="B13" s="71">
        <v>3694843.2</v>
      </c>
      <c r="C13" s="72">
        <v>0.54500000000000004</v>
      </c>
    </row>
    <row r="14" spans="1:3" x14ac:dyDescent="0.25">
      <c r="A14" s="70" t="s">
        <v>42</v>
      </c>
      <c r="B14" s="71">
        <v>3059.59</v>
      </c>
      <c r="C14" s="72">
        <v>0.52029999999999998</v>
      </c>
    </row>
    <row r="15" spans="1:3" x14ac:dyDescent="0.25">
      <c r="A15" s="70" t="s">
        <v>46</v>
      </c>
      <c r="B15" s="71">
        <v>232829.2</v>
      </c>
      <c r="C15" s="72">
        <v>0.53369999999999995</v>
      </c>
    </row>
    <row r="16" spans="1:3" x14ac:dyDescent="0.25">
      <c r="A16" s="70" t="s">
        <v>47</v>
      </c>
      <c r="B16" s="71">
        <v>4431942.78</v>
      </c>
      <c r="C16" s="72">
        <v>0.54969999999999997</v>
      </c>
    </row>
    <row r="17" spans="1:3" x14ac:dyDescent="0.25">
      <c r="A17" s="70" t="s">
        <v>48</v>
      </c>
      <c r="B17" s="71">
        <v>663000</v>
      </c>
      <c r="C17" s="72">
        <v>0.50680000000000003</v>
      </c>
    </row>
    <row r="18" spans="1:3" x14ac:dyDescent="0.25">
      <c r="A18" s="70" t="s">
        <v>49</v>
      </c>
      <c r="B18" s="71">
        <v>108991.28</v>
      </c>
      <c r="C18" s="72">
        <v>0.55220000000000002</v>
      </c>
    </row>
    <row r="19" spans="1:3" x14ac:dyDescent="0.25">
      <c r="A19" s="70" t="s">
        <v>50</v>
      </c>
      <c r="B19" s="71">
        <v>223356.33</v>
      </c>
      <c r="C19" s="72">
        <v>0.55990000000000006</v>
      </c>
    </row>
    <row r="20" spans="1:3" x14ac:dyDescent="0.25">
      <c r="A20" s="70" t="s">
        <v>51</v>
      </c>
      <c r="B20" s="71">
        <v>79395.539999999994</v>
      </c>
      <c r="C20" s="72">
        <v>0.53620000000000001</v>
      </c>
    </row>
    <row r="21" spans="1:3" x14ac:dyDescent="0.25">
      <c r="A21" s="70" t="s">
        <v>52</v>
      </c>
      <c r="B21" s="71">
        <v>371034.64</v>
      </c>
      <c r="C21" s="72">
        <v>0.56079999999999997</v>
      </c>
    </row>
    <row r="22" spans="1:3" x14ac:dyDescent="0.25">
      <c r="A22" s="70" t="s">
        <v>53</v>
      </c>
      <c r="B22" s="71">
        <v>6929653.6900000004</v>
      </c>
      <c r="C22" s="72">
        <v>0.54930000000000001</v>
      </c>
    </row>
    <row r="23" spans="1:3" x14ac:dyDescent="0.25">
      <c r="A23" s="70" t="s">
        <v>54</v>
      </c>
      <c r="B23" s="71">
        <v>35601.440000000002</v>
      </c>
      <c r="C23" s="72">
        <v>0.5696</v>
      </c>
    </row>
    <row r="24" spans="1:3" x14ac:dyDescent="0.25">
      <c r="A24" s="70" t="s">
        <v>55</v>
      </c>
      <c r="B24" s="71">
        <v>257768.73</v>
      </c>
      <c r="C24" s="72">
        <v>0.55789999999999995</v>
      </c>
    </row>
    <row r="25" spans="1:3" x14ac:dyDescent="0.25">
      <c r="A25" s="70" t="s">
        <v>56</v>
      </c>
      <c r="B25" s="71">
        <v>151706.20000000001</v>
      </c>
      <c r="C25" s="72">
        <v>0.55289999999999995</v>
      </c>
    </row>
    <row r="26" spans="1:3" x14ac:dyDescent="0.25">
      <c r="A26" s="70" t="s">
        <v>57</v>
      </c>
      <c r="B26" s="71">
        <v>34969.75</v>
      </c>
      <c r="C26" s="72">
        <v>0.51929999999999998</v>
      </c>
    </row>
    <row r="27" spans="1:3" x14ac:dyDescent="0.25">
      <c r="A27" s="70" t="s">
        <v>58</v>
      </c>
      <c r="B27" s="71">
        <v>10369.39</v>
      </c>
      <c r="C27" s="72">
        <v>0.68849999999999989</v>
      </c>
    </row>
    <row r="28" spans="1:3" x14ac:dyDescent="0.25">
      <c r="A28" s="70" t="s">
        <v>60</v>
      </c>
      <c r="B28" s="71">
        <v>77098.16</v>
      </c>
      <c r="C28" s="72">
        <v>0.54579999999999995</v>
      </c>
    </row>
    <row r="29" spans="1:3" x14ac:dyDescent="0.25">
      <c r="A29" s="70" t="s">
        <v>61</v>
      </c>
      <c r="B29" s="71">
        <v>116695.39</v>
      </c>
      <c r="C29" s="72">
        <v>0.56259999999999999</v>
      </c>
    </row>
    <row r="30" spans="1:3" x14ac:dyDescent="0.25">
      <c r="A30" s="70" t="s">
        <v>62</v>
      </c>
      <c r="B30" s="71">
        <v>107998</v>
      </c>
      <c r="C30" s="72">
        <v>0.55530000000000002</v>
      </c>
    </row>
    <row r="31" spans="1:3" x14ac:dyDescent="0.25">
      <c r="A31" s="70" t="s">
        <v>87</v>
      </c>
      <c r="B31" s="71">
        <v>36784734.99000001</v>
      </c>
      <c r="C31" s="72">
        <v>0.55370999999999992</v>
      </c>
    </row>
    <row r="32" spans="1:3" x14ac:dyDescent="0.25">
      <c r="A32" s="70" t="s">
        <v>63</v>
      </c>
      <c r="B32" s="71">
        <v>106080.48</v>
      </c>
      <c r="C32" s="72">
        <v>0.55799999999999994</v>
      </c>
    </row>
    <row r="33" spans="1:3" x14ac:dyDescent="0.25">
      <c r="A33" s="70" t="s">
        <v>64</v>
      </c>
      <c r="B33" s="71">
        <v>48360.73</v>
      </c>
      <c r="C33" s="72">
        <v>0.53579999999999994</v>
      </c>
    </row>
    <row r="34" spans="1:3" x14ac:dyDescent="0.25">
      <c r="A34" s="70" t="s">
        <v>65</v>
      </c>
      <c r="B34" s="71">
        <v>56848.42</v>
      </c>
      <c r="C34" s="72">
        <v>0.56140000000000001</v>
      </c>
    </row>
    <row r="35" spans="1:3" x14ac:dyDescent="0.25">
      <c r="A35" s="70" t="s">
        <v>66</v>
      </c>
      <c r="B35" s="71">
        <v>2888993.91</v>
      </c>
      <c r="C35" s="72">
        <v>0.54749999999999999</v>
      </c>
    </row>
    <row r="36" spans="1:3" x14ac:dyDescent="0.25">
      <c r="A36" s="70" t="s">
        <v>67</v>
      </c>
      <c r="B36" s="71">
        <v>98797.58</v>
      </c>
      <c r="C36" s="72">
        <v>0.53390000000000004</v>
      </c>
    </row>
    <row r="37" spans="1:3" x14ac:dyDescent="0.25">
      <c r="A37" s="70" t="s">
        <v>68</v>
      </c>
      <c r="B37" s="71">
        <v>39464.79</v>
      </c>
      <c r="C37" s="72">
        <v>0.60060000000000002</v>
      </c>
    </row>
    <row r="38" spans="1:3" x14ac:dyDescent="0.25">
      <c r="A38" s="70" t="s">
        <v>69</v>
      </c>
      <c r="B38" s="71">
        <v>43856.800000000003</v>
      </c>
      <c r="C38" s="72">
        <v>0.54330000000000001</v>
      </c>
    </row>
    <row r="39" spans="1:3" x14ac:dyDescent="0.25">
      <c r="A39" s="70" t="s">
        <v>70</v>
      </c>
      <c r="B39" s="71">
        <v>2891757.66</v>
      </c>
      <c r="C39" s="72">
        <v>0.54490000000000005</v>
      </c>
    </row>
    <row r="40" spans="1:3" x14ac:dyDescent="0.25">
      <c r="A40" s="70" t="s">
        <v>71</v>
      </c>
      <c r="B40" s="71">
        <v>47035.8</v>
      </c>
      <c r="C40" s="72">
        <v>0.47699999999999998</v>
      </c>
    </row>
    <row r="41" spans="1:3" x14ac:dyDescent="0.25">
      <c r="A41" s="70" t="s">
        <v>73</v>
      </c>
      <c r="B41" s="71">
        <v>113122.1</v>
      </c>
      <c r="C41" s="72">
        <v>0.57140000000000002</v>
      </c>
    </row>
    <row r="42" spans="1:3" x14ac:dyDescent="0.25">
      <c r="A42" s="70" t="s">
        <v>74</v>
      </c>
      <c r="B42" s="71">
        <v>41524.800000000003</v>
      </c>
      <c r="C42" s="72">
        <v>0.58939999999999992</v>
      </c>
    </row>
    <row r="43" spans="1:3" x14ac:dyDescent="0.25">
      <c r="A43" s="70" t="s">
        <v>75</v>
      </c>
      <c r="B43" s="71">
        <v>1309522.04</v>
      </c>
      <c r="C43" s="72">
        <v>0.55149999999999999</v>
      </c>
    </row>
    <row r="44" spans="1:3" x14ac:dyDescent="0.25">
      <c r="A44" s="70" t="s">
        <v>76</v>
      </c>
      <c r="B44" s="71">
        <v>26477.05</v>
      </c>
      <c r="C44" s="72">
        <v>0.54349999999999998</v>
      </c>
    </row>
    <row r="45" spans="1:3" x14ac:dyDescent="0.25">
      <c r="A45" s="70" t="s">
        <v>77</v>
      </c>
      <c r="B45" s="71">
        <v>117006.75</v>
      </c>
      <c r="C45" s="72">
        <v>0.55459999999999998</v>
      </c>
    </row>
    <row r="46" spans="1:3" x14ac:dyDescent="0.25">
      <c r="A46" s="70" t="s">
        <v>78</v>
      </c>
      <c r="B46" s="71">
        <v>54895.53</v>
      </c>
      <c r="C46" s="72">
        <v>0.5766</v>
      </c>
    </row>
    <row r="47" spans="1:3" x14ac:dyDescent="0.25">
      <c r="A47" s="70" t="s">
        <v>79</v>
      </c>
      <c r="B47" s="71">
        <v>44585.09</v>
      </c>
      <c r="C47" s="72">
        <v>0.55789999999999995</v>
      </c>
    </row>
    <row r="48" spans="1:3" x14ac:dyDescent="0.25">
      <c r="A48" s="70" t="s">
        <v>80</v>
      </c>
      <c r="B48" s="71">
        <v>6104.66</v>
      </c>
      <c r="C48" s="72">
        <v>0.55010000000000003</v>
      </c>
    </row>
    <row r="49" spans="1:3" x14ac:dyDescent="0.25">
      <c r="A49" s="70" t="s">
        <v>81</v>
      </c>
      <c r="B49" s="71">
        <v>68721.78</v>
      </c>
      <c r="C49" s="72">
        <v>0.55649999999999999</v>
      </c>
    </row>
    <row r="50" spans="1:3" x14ac:dyDescent="0.25">
      <c r="A50" s="70" t="s">
        <v>82</v>
      </c>
      <c r="B50" s="71">
        <v>33310.5</v>
      </c>
      <c r="C50" s="72">
        <v>0.54299999999999993</v>
      </c>
    </row>
    <row r="51" spans="1:3" x14ac:dyDescent="0.25">
      <c r="A51" s="70" t="s">
        <v>83</v>
      </c>
      <c r="B51" s="71">
        <v>3113844.68</v>
      </c>
      <c r="C51" s="72">
        <v>0.54810000000000003</v>
      </c>
    </row>
    <row r="52" spans="1:3" x14ac:dyDescent="0.25">
      <c r="A52" s="70" t="s">
        <v>84</v>
      </c>
      <c r="B52" s="71">
        <v>3147800</v>
      </c>
      <c r="C52" s="72">
        <v>0.54559999999999997</v>
      </c>
    </row>
    <row r="53" spans="1:3" x14ac:dyDescent="0.25">
      <c r="A53" s="70" t="s">
        <v>85</v>
      </c>
      <c r="B53" s="71">
        <v>140283</v>
      </c>
      <c r="C53" s="72">
        <v>0.56459999999999999</v>
      </c>
    </row>
    <row r="54" spans="1:3" x14ac:dyDescent="0.25">
      <c r="A54" s="70" t="s">
        <v>86</v>
      </c>
      <c r="B54" s="71">
        <v>44545.97</v>
      </c>
      <c r="C54" s="72">
        <v>0.53590000000000004</v>
      </c>
    </row>
    <row r="55" spans="1:3" x14ac:dyDescent="0.25">
      <c r="A55" s="70" t="s">
        <v>124</v>
      </c>
      <c r="B55" s="71">
        <v>73569469.980000004</v>
      </c>
      <c r="C55" s="72">
        <v>0.55371000000000004</v>
      </c>
    </row>
  </sheetData>
  <conditionalFormatting pivot="1" sqref="C4:C54">
    <cfRule type="cellIs" dxfId="0" priority="1" operator="greaterThan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workbookViewId="0">
      <pane ySplit="6" topLeftCell="A7" activePane="bottomLeft" state="frozen"/>
      <selection pane="bottomLeft" activeCell="B6" sqref="B6"/>
    </sheetView>
  </sheetViews>
  <sheetFormatPr defaultRowHeight="15" x14ac:dyDescent="0.25"/>
  <cols>
    <col min="1" max="1" width="16" customWidth="1"/>
    <col min="2" max="2" width="9" customWidth="1"/>
    <col min="3" max="3" width="10" customWidth="1"/>
    <col min="4" max="4" width="11" customWidth="1"/>
    <col min="5" max="5" width="13" customWidth="1"/>
    <col min="6" max="6" width="15" customWidth="1"/>
    <col min="7" max="7" width="14" customWidth="1"/>
    <col min="8" max="8" width="13" customWidth="1"/>
    <col min="9" max="9" width="12" customWidth="1"/>
    <col min="10" max="10" width="13" customWidth="1"/>
    <col min="11" max="12" width="12" customWidth="1"/>
    <col min="13" max="13" width="13" customWidth="1"/>
  </cols>
  <sheetData>
    <row r="1" spans="1:13" ht="27.95" customHeight="1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15.95" customHeight="1" x14ac:dyDescent="0.25">
      <c r="A2" s="1" t="s">
        <v>1</v>
      </c>
      <c r="B2" s="2" t="s">
        <v>2</v>
      </c>
      <c r="D2" s="1" t="s">
        <v>3</v>
      </c>
      <c r="E2" s="2" t="s">
        <v>4</v>
      </c>
      <c r="G2" s="1" t="s">
        <v>5</v>
      </c>
      <c r="H2" s="2" t="s">
        <v>6</v>
      </c>
    </row>
    <row r="3" spans="1:13" ht="15.95" customHeight="1" x14ac:dyDescent="0.25">
      <c r="A3" s="1" t="s">
        <v>7</v>
      </c>
      <c r="B3" s="2" t="s">
        <v>8</v>
      </c>
      <c r="D3" s="1" t="s">
        <v>9</v>
      </c>
      <c r="E3" s="2" t="s">
        <v>10</v>
      </c>
      <c r="G3" s="1" t="s">
        <v>11</v>
      </c>
      <c r="H3" s="2" t="s">
        <v>12</v>
      </c>
    </row>
    <row r="4" spans="1:13" ht="15.95" customHeight="1" x14ac:dyDescent="0.25">
      <c r="A4" s="1" t="s">
        <v>13</v>
      </c>
      <c r="B4" s="2" t="s">
        <v>14</v>
      </c>
      <c r="D4" s="1" t="s">
        <v>15</v>
      </c>
      <c r="E4" s="2" t="s">
        <v>16</v>
      </c>
      <c r="G4" s="1" t="s">
        <v>17</v>
      </c>
      <c r="H4" s="2" t="s">
        <v>18</v>
      </c>
    </row>
    <row r="5" spans="1:13" ht="6" customHeight="1" x14ac:dyDescent="0.25"/>
    <row r="6" spans="1:13" ht="36" customHeight="1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28</v>
      </c>
      <c r="K6" s="3" t="s">
        <v>29</v>
      </c>
      <c r="L6" s="3" t="s">
        <v>30</v>
      </c>
      <c r="M6" s="3" t="s">
        <v>31</v>
      </c>
    </row>
    <row r="7" spans="1:13" x14ac:dyDescent="0.25">
      <c r="A7" s="4" t="s">
        <v>32</v>
      </c>
      <c r="B7" s="5" t="s">
        <v>33</v>
      </c>
      <c r="C7" s="5" t="s">
        <v>34</v>
      </c>
      <c r="D7" s="5" t="s">
        <v>4</v>
      </c>
      <c r="E7" s="6">
        <v>1780</v>
      </c>
      <c r="F7" s="7">
        <v>133671.51</v>
      </c>
      <c r="G7" s="7">
        <v>16643.52</v>
      </c>
      <c r="H7" s="8">
        <v>0.59</v>
      </c>
      <c r="I7" s="9">
        <v>0.56969999999999998</v>
      </c>
      <c r="J7" s="9">
        <v>0.15559999999999999</v>
      </c>
      <c r="K7" s="6">
        <v>277</v>
      </c>
      <c r="L7" s="6">
        <v>1014</v>
      </c>
      <c r="M7" s="10" t="s">
        <v>35</v>
      </c>
    </row>
    <row r="8" spans="1:13" x14ac:dyDescent="0.25">
      <c r="A8" s="11" t="s">
        <v>36</v>
      </c>
      <c r="B8" s="12" t="s">
        <v>33</v>
      </c>
      <c r="C8" s="12" t="s">
        <v>34</v>
      </c>
      <c r="D8" s="12" t="s">
        <v>4</v>
      </c>
      <c r="E8" s="13">
        <v>68</v>
      </c>
      <c r="F8" s="14">
        <v>20597.939999999999</v>
      </c>
      <c r="G8" s="14">
        <v>714.43</v>
      </c>
      <c r="H8" s="15">
        <v>0.66</v>
      </c>
      <c r="I8" s="16">
        <v>0.57350000000000001</v>
      </c>
      <c r="J8" s="16">
        <v>0.17649999999999999</v>
      </c>
      <c r="K8" s="13">
        <v>12</v>
      </c>
      <c r="L8" s="13">
        <v>39</v>
      </c>
      <c r="M8" s="10" t="s">
        <v>35</v>
      </c>
    </row>
    <row r="9" spans="1:13" x14ac:dyDescent="0.25">
      <c r="A9" s="4" t="s">
        <v>37</v>
      </c>
      <c r="B9" s="5" t="s">
        <v>33</v>
      </c>
      <c r="C9" s="5" t="s">
        <v>34</v>
      </c>
      <c r="D9" s="5" t="s">
        <v>4</v>
      </c>
      <c r="E9" s="6">
        <v>207</v>
      </c>
      <c r="F9" s="7">
        <v>12229.56</v>
      </c>
      <c r="G9" s="7">
        <v>1525.03</v>
      </c>
      <c r="H9" s="8">
        <v>0.44</v>
      </c>
      <c r="I9" s="9">
        <v>0.52659999999999996</v>
      </c>
      <c r="J9" s="9">
        <v>0.19320000000000001</v>
      </c>
      <c r="K9" s="6">
        <v>40</v>
      </c>
      <c r="L9" s="6">
        <v>109</v>
      </c>
      <c r="M9" s="10" t="s">
        <v>35</v>
      </c>
    </row>
    <row r="10" spans="1:13" x14ac:dyDescent="0.25">
      <c r="A10" s="11" t="s">
        <v>38</v>
      </c>
      <c r="B10" s="12" t="s">
        <v>33</v>
      </c>
      <c r="C10" s="12" t="s">
        <v>34</v>
      </c>
      <c r="D10" s="12" t="s">
        <v>4</v>
      </c>
      <c r="E10" s="13">
        <v>632</v>
      </c>
      <c r="F10" s="14">
        <v>94057.15</v>
      </c>
      <c r="G10" s="14">
        <v>12762.13</v>
      </c>
      <c r="H10" s="15">
        <v>0.57999999999999996</v>
      </c>
      <c r="I10" s="16">
        <v>0.55220000000000002</v>
      </c>
      <c r="J10" s="16">
        <v>0.18509999999999999</v>
      </c>
      <c r="K10" s="13">
        <v>117</v>
      </c>
      <c r="L10" s="13">
        <v>349</v>
      </c>
      <c r="M10" s="10" t="s">
        <v>35</v>
      </c>
    </row>
    <row r="11" spans="1:13" x14ac:dyDescent="0.25">
      <c r="A11" s="4" t="s">
        <v>39</v>
      </c>
      <c r="B11" s="5" t="s">
        <v>33</v>
      </c>
      <c r="C11" s="5" t="s">
        <v>34</v>
      </c>
      <c r="D11" s="5" t="s">
        <v>4</v>
      </c>
      <c r="E11" s="6">
        <v>67</v>
      </c>
      <c r="F11" s="7">
        <v>27099.33</v>
      </c>
      <c r="G11" s="7">
        <v>1845.67</v>
      </c>
      <c r="H11" s="8">
        <v>0.48</v>
      </c>
      <c r="I11" s="9">
        <v>0.55220000000000002</v>
      </c>
      <c r="J11" s="9">
        <v>7.46E-2</v>
      </c>
      <c r="K11" s="6">
        <v>5</v>
      </c>
      <c r="L11" s="6">
        <v>37</v>
      </c>
      <c r="M11" s="10" t="s">
        <v>35</v>
      </c>
    </row>
    <row r="12" spans="1:13" x14ac:dyDescent="0.25">
      <c r="A12" s="11" t="s">
        <v>40</v>
      </c>
      <c r="B12" s="12" t="s">
        <v>33</v>
      </c>
      <c r="C12" s="12" t="s">
        <v>34</v>
      </c>
      <c r="D12" s="12" t="s">
        <v>4</v>
      </c>
      <c r="E12" s="13">
        <v>405</v>
      </c>
      <c r="F12" s="14">
        <v>12587.4</v>
      </c>
      <c r="G12" s="14">
        <v>883.01</v>
      </c>
      <c r="H12" s="15">
        <v>0.53</v>
      </c>
      <c r="I12" s="16">
        <v>0.56540000000000001</v>
      </c>
      <c r="J12" s="16">
        <v>0.1852</v>
      </c>
      <c r="K12" s="13">
        <v>75</v>
      </c>
      <c r="L12" s="13">
        <v>229</v>
      </c>
      <c r="M12" s="10" t="s">
        <v>35</v>
      </c>
    </row>
    <row r="13" spans="1:13" x14ac:dyDescent="0.25">
      <c r="A13" s="4" t="s">
        <v>41</v>
      </c>
      <c r="B13" s="5" t="s">
        <v>33</v>
      </c>
      <c r="C13" s="5" t="s">
        <v>34</v>
      </c>
      <c r="D13" s="5" t="s">
        <v>4</v>
      </c>
      <c r="E13" s="6">
        <v>423</v>
      </c>
      <c r="F13" s="7">
        <v>85205.41</v>
      </c>
      <c r="G13" s="7">
        <v>8641.3700000000008</v>
      </c>
      <c r="H13" s="8">
        <v>0.67</v>
      </c>
      <c r="I13" s="9">
        <v>0.56259999999999999</v>
      </c>
      <c r="J13" s="9">
        <v>0.18909999999999999</v>
      </c>
      <c r="K13" s="6">
        <v>80</v>
      </c>
      <c r="L13" s="6">
        <v>238</v>
      </c>
      <c r="M13" s="10" t="s">
        <v>35</v>
      </c>
    </row>
    <row r="14" spans="1:13" x14ac:dyDescent="0.25">
      <c r="A14" s="11" t="s">
        <v>42</v>
      </c>
      <c r="B14" s="12" t="s">
        <v>33</v>
      </c>
      <c r="C14" s="12" t="s">
        <v>34</v>
      </c>
      <c r="D14" s="12" t="s">
        <v>4</v>
      </c>
      <c r="E14" s="13">
        <v>271</v>
      </c>
      <c r="F14" s="14">
        <v>3059.59</v>
      </c>
      <c r="G14" s="14">
        <v>383.85</v>
      </c>
      <c r="H14" s="15">
        <v>0.46</v>
      </c>
      <c r="I14" s="16">
        <v>0.52029999999999998</v>
      </c>
      <c r="J14" s="16">
        <v>0.20300000000000001</v>
      </c>
      <c r="K14" s="13">
        <v>55</v>
      </c>
      <c r="L14" s="13">
        <v>141</v>
      </c>
      <c r="M14" s="10" t="s">
        <v>35</v>
      </c>
    </row>
    <row r="15" spans="1:13" x14ac:dyDescent="0.25">
      <c r="A15" s="4" t="s">
        <v>43</v>
      </c>
      <c r="B15" s="5" t="s">
        <v>33</v>
      </c>
      <c r="C15" s="5" t="s">
        <v>34</v>
      </c>
      <c r="D15" s="5" t="s">
        <v>4</v>
      </c>
      <c r="E15" s="6">
        <v>592</v>
      </c>
      <c r="F15" s="7">
        <v>267607.69</v>
      </c>
      <c r="G15" s="7">
        <v>30289.8</v>
      </c>
      <c r="H15" s="8">
        <v>0.65</v>
      </c>
      <c r="I15" s="9">
        <v>0.58109999999999995</v>
      </c>
      <c r="J15" s="9">
        <v>0.15540000000000001</v>
      </c>
      <c r="K15" s="6">
        <v>92</v>
      </c>
      <c r="L15" s="6">
        <v>344</v>
      </c>
      <c r="M15" s="10" t="s">
        <v>35</v>
      </c>
    </row>
    <row r="16" spans="1:13" x14ac:dyDescent="0.25">
      <c r="A16" s="11" t="s">
        <v>44</v>
      </c>
      <c r="B16" s="12" t="s">
        <v>33</v>
      </c>
      <c r="C16" s="12" t="s">
        <v>34</v>
      </c>
      <c r="D16" s="12" t="s">
        <v>4</v>
      </c>
      <c r="E16" s="13">
        <v>13729</v>
      </c>
      <c r="F16" s="14">
        <v>4118425.57</v>
      </c>
      <c r="G16" s="14">
        <v>427455.57</v>
      </c>
      <c r="H16" s="15">
        <v>0.55000000000000004</v>
      </c>
      <c r="I16" s="16">
        <v>0.54530000000000001</v>
      </c>
      <c r="J16" s="16">
        <v>0.18379999999999999</v>
      </c>
      <c r="K16" s="13">
        <v>2523</v>
      </c>
      <c r="L16" s="13">
        <v>7487</v>
      </c>
      <c r="M16" s="10" t="s">
        <v>35</v>
      </c>
    </row>
    <row r="17" spans="1:13" x14ac:dyDescent="0.25">
      <c r="A17" s="4" t="s">
        <v>45</v>
      </c>
      <c r="B17" s="5" t="s">
        <v>33</v>
      </c>
      <c r="C17" s="5" t="s">
        <v>34</v>
      </c>
      <c r="D17" s="5" t="s">
        <v>4</v>
      </c>
      <c r="E17" s="6">
        <v>12487</v>
      </c>
      <c r="F17" s="7">
        <v>3694843.2</v>
      </c>
      <c r="G17" s="7">
        <v>383011.1</v>
      </c>
      <c r="H17" s="8">
        <v>0.55000000000000004</v>
      </c>
      <c r="I17" s="9">
        <v>0.54500000000000004</v>
      </c>
      <c r="J17" s="9">
        <v>0.1779</v>
      </c>
      <c r="K17" s="6">
        <v>2222</v>
      </c>
      <c r="L17" s="6">
        <v>6805</v>
      </c>
      <c r="M17" s="10" t="s">
        <v>35</v>
      </c>
    </row>
    <row r="18" spans="1:13" x14ac:dyDescent="0.25">
      <c r="A18" s="11" t="s">
        <v>46</v>
      </c>
      <c r="B18" s="12" t="s">
        <v>33</v>
      </c>
      <c r="C18" s="12" t="s">
        <v>34</v>
      </c>
      <c r="D18" s="12" t="s">
        <v>4</v>
      </c>
      <c r="E18" s="13">
        <v>652</v>
      </c>
      <c r="F18" s="14">
        <v>232829.2</v>
      </c>
      <c r="G18" s="14">
        <v>27178.1</v>
      </c>
      <c r="H18" s="15">
        <v>0.57999999999999996</v>
      </c>
      <c r="I18" s="16">
        <v>0.53369999999999995</v>
      </c>
      <c r="J18" s="16">
        <v>0.1794</v>
      </c>
      <c r="K18" s="13">
        <v>117</v>
      </c>
      <c r="L18" s="13">
        <v>348</v>
      </c>
      <c r="M18" s="10" t="s">
        <v>35</v>
      </c>
    </row>
    <row r="19" spans="1:13" x14ac:dyDescent="0.25">
      <c r="A19" s="4" t="s">
        <v>47</v>
      </c>
      <c r="B19" s="5" t="s">
        <v>33</v>
      </c>
      <c r="C19" s="5" t="s">
        <v>34</v>
      </c>
      <c r="D19" s="5" t="s">
        <v>4</v>
      </c>
      <c r="E19" s="6">
        <v>24551</v>
      </c>
      <c r="F19" s="7">
        <v>4431942.78</v>
      </c>
      <c r="G19" s="7">
        <v>494636.92</v>
      </c>
      <c r="H19" s="8">
        <v>0.57999999999999996</v>
      </c>
      <c r="I19" s="9">
        <v>0.54969999999999997</v>
      </c>
      <c r="J19" s="9">
        <v>0.1812</v>
      </c>
      <c r="K19" s="6">
        <v>4448</v>
      </c>
      <c r="L19" s="6">
        <v>13496</v>
      </c>
      <c r="M19" s="10" t="s">
        <v>35</v>
      </c>
    </row>
    <row r="20" spans="1:13" x14ac:dyDescent="0.25">
      <c r="A20" s="11" t="s">
        <v>48</v>
      </c>
      <c r="B20" s="12" t="s">
        <v>33</v>
      </c>
      <c r="C20" s="12" t="s">
        <v>34</v>
      </c>
      <c r="D20" s="12" t="s">
        <v>4</v>
      </c>
      <c r="E20" s="13">
        <v>442</v>
      </c>
      <c r="F20" s="14">
        <v>663000</v>
      </c>
      <c r="G20" s="14">
        <v>69656.81</v>
      </c>
      <c r="H20" s="15">
        <v>0.45</v>
      </c>
      <c r="I20" s="16">
        <v>0.50680000000000003</v>
      </c>
      <c r="J20" s="16">
        <v>0.19</v>
      </c>
      <c r="K20" s="13">
        <v>84</v>
      </c>
      <c r="L20" s="13">
        <v>224</v>
      </c>
      <c r="M20" s="10" t="s">
        <v>35</v>
      </c>
    </row>
    <row r="21" spans="1:13" x14ac:dyDescent="0.25">
      <c r="A21" s="4" t="s">
        <v>49</v>
      </c>
      <c r="B21" s="5" t="s">
        <v>33</v>
      </c>
      <c r="C21" s="5" t="s">
        <v>34</v>
      </c>
      <c r="D21" s="5" t="s">
        <v>4</v>
      </c>
      <c r="E21" s="6">
        <v>431</v>
      </c>
      <c r="F21" s="7">
        <v>108991.28</v>
      </c>
      <c r="G21" s="7">
        <v>13223.4</v>
      </c>
      <c r="H21" s="8">
        <v>0.64</v>
      </c>
      <c r="I21" s="9">
        <v>0.55220000000000002</v>
      </c>
      <c r="J21" s="9">
        <v>0.16239999999999999</v>
      </c>
      <c r="K21" s="6">
        <v>70</v>
      </c>
      <c r="L21" s="6">
        <v>238</v>
      </c>
      <c r="M21" s="10" t="s">
        <v>35</v>
      </c>
    </row>
    <row r="22" spans="1:13" x14ac:dyDescent="0.25">
      <c r="A22" s="11" t="s">
        <v>50</v>
      </c>
      <c r="B22" s="12" t="s">
        <v>33</v>
      </c>
      <c r="C22" s="12" t="s">
        <v>34</v>
      </c>
      <c r="D22" s="12" t="s">
        <v>4</v>
      </c>
      <c r="E22" s="13">
        <v>484</v>
      </c>
      <c r="F22" s="14">
        <v>223356.33</v>
      </c>
      <c r="G22" s="14">
        <v>25531.17</v>
      </c>
      <c r="H22" s="15">
        <v>0.63</v>
      </c>
      <c r="I22" s="16">
        <v>0.55990000000000006</v>
      </c>
      <c r="J22" s="16">
        <v>0.17150000000000001</v>
      </c>
      <c r="K22" s="13">
        <v>83</v>
      </c>
      <c r="L22" s="13">
        <v>271</v>
      </c>
      <c r="M22" s="10" t="s">
        <v>35</v>
      </c>
    </row>
    <row r="23" spans="1:13" x14ac:dyDescent="0.25">
      <c r="A23" s="4" t="s">
        <v>51</v>
      </c>
      <c r="B23" s="5" t="s">
        <v>33</v>
      </c>
      <c r="C23" s="5" t="s">
        <v>34</v>
      </c>
      <c r="D23" s="5" t="s">
        <v>4</v>
      </c>
      <c r="E23" s="6">
        <v>483</v>
      </c>
      <c r="F23" s="7">
        <v>79395.539999999994</v>
      </c>
      <c r="G23" s="7">
        <v>6655.43</v>
      </c>
      <c r="H23" s="8">
        <v>0.53</v>
      </c>
      <c r="I23" s="9">
        <v>0.53620000000000001</v>
      </c>
      <c r="J23" s="9">
        <v>0.17599999999999999</v>
      </c>
      <c r="K23" s="6">
        <v>85</v>
      </c>
      <c r="L23" s="6">
        <v>259</v>
      </c>
      <c r="M23" s="10" t="s">
        <v>35</v>
      </c>
    </row>
    <row r="24" spans="1:13" x14ac:dyDescent="0.25">
      <c r="A24" s="11" t="s">
        <v>52</v>
      </c>
      <c r="B24" s="12" t="s">
        <v>33</v>
      </c>
      <c r="C24" s="12" t="s">
        <v>34</v>
      </c>
      <c r="D24" s="12" t="s">
        <v>4</v>
      </c>
      <c r="E24" s="13">
        <v>3156</v>
      </c>
      <c r="F24" s="14">
        <v>371034.64</v>
      </c>
      <c r="G24" s="14">
        <v>40891.379999999997</v>
      </c>
      <c r="H24" s="15">
        <v>0.56999999999999995</v>
      </c>
      <c r="I24" s="16">
        <v>0.56079999999999997</v>
      </c>
      <c r="J24" s="16">
        <v>0.1651</v>
      </c>
      <c r="K24" s="13">
        <v>521</v>
      </c>
      <c r="L24" s="13">
        <v>1770</v>
      </c>
      <c r="M24" s="10" t="s">
        <v>35</v>
      </c>
    </row>
    <row r="25" spans="1:13" x14ac:dyDescent="0.25">
      <c r="A25" s="4" t="s">
        <v>53</v>
      </c>
      <c r="B25" s="5" t="s">
        <v>33</v>
      </c>
      <c r="C25" s="5" t="s">
        <v>34</v>
      </c>
      <c r="D25" s="5" t="s">
        <v>4</v>
      </c>
      <c r="E25" s="6">
        <v>17325</v>
      </c>
      <c r="F25" s="7">
        <v>6929653.6900000004</v>
      </c>
      <c r="G25" s="7">
        <v>756220.77</v>
      </c>
      <c r="H25" s="8">
        <v>0.56000000000000005</v>
      </c>
      <c r="I25" s="9">
        <v>0.54930000000000001</v>
      </c>
      <c r="J25" s="9">
        <v>0.17580000000000001</v>
      </c>
      <c r="K25" s="6">
        <v>3045</v>
      </c>
      <c r="L25" s="6">
        <v>9516</v>
      </c>
      <c r="M25" s="10" t="s">
        <v>35</v>
      </c>
    </row>
    <row r="26" spans="1:13" x14ac:dyDescent="0.25">
      <c r="A26" s="11" t="s">
        <v>54</v>
      </c>
      <c r="B26" s="12" t="s">
        <v>33</v>
      </c>
      <c r="C26" s="12" t="s">
        <v>34</v>
      </c>
      <c r="D26" s="12" t="s">
        <v>4</v>
      </c>
      <c r="E26" s="13">
        <v>309</v>
      </c>
      <c r="F26" s="14">
        <v>35601.440000000002</v>
      </c>
      <c r="G26" s="14">
        <v>5258.39</v>
      </c>
      <c r="H26" s="15">
        <v>0.61</v>
      </c>
      <c r="I26" s="16">
        <v>0.5696</v>
      </c>
      <c r="J26" s="16">
        <v>0.16500000000000001</v>
      </c>
      <c r="K26" s="13">
        <v>51</v>
      </c>
      <c r="L26" s="13">
        <v>176</v>
      </c>
      <c r="M26" s="10" t="s">
        <v>35</v>
      </c>
    </row>
    <row r="27" spans="1:13" x14ac:dyDescent="0.25">
      <c r="A27" s="4" t="s">
        <v>55</v>
      </c>
      <c r="B27" s="5" t="s">
        <v>33</v>
      </c>
      <c r="C27" s="5" t="s">
        <v>34</v>
      </c>
      <c r="D27" s="5" t="s">
        <v>4</v>
      </c>
      <c r="E27" s="6">
        <v>484</v>
      </c>
      <c r="F27" s="7">
        <v>257768.73</v>
      </c>
      <c r="G27" s="7">
        <v>33443.01</v>
      </c>
      <c r="H27" s="8">
        <v>0.55000000000000004</v>
      </c>
      <c r="I27" s="9">
        <v>0.55789999999999995</v>
      </c>
      <c r="J27" s="9">
        <v>0.1653</v>
      </c>
      <c r="K27" s="6">
        <v>80</v>
      </c>
      <c r="L27" s="6">
        <v>270</v>
      </c>
      <c r="M27" s="10" t="s">
        <v>35</v>
      </c>
    </row>
    <row r="28" spans="1:13" x14ac:dyDescent="0.25">
      <c r="A28" s="11" t="s">
        <v>56</v>
      </c>
      <c r="B28" s="12" t="s">
        <v>33</v>
      </c>
      <c r="C28" s="12" t="s">
        <v>34</v>
      </c>
      <c r="D28" s="12" t="s">
        <v>4</v>
      </c>
      <c r="E28" s="13">
        <v>1201</v>
      </c>
      <c r="F28" s="14">
        <v>151706.20000000001</v>
      </c>
      <c r="G28" s="14">
        <v>17288.57</v>
      </c>
      <c r="H28" s="15">
        <v>0.59</v>
      </c>
      <c r="I28" s="16">
        <v>0.55289999999999995</v>
      </c>
      <c r="J28" s="16">
        <v>0.15740000000000001</v>
      </c>
      <c r="K28" s="13">
        <v>189</v>
      </c>
      <c r="L28" s="13">
        <v>664</v>
      </c>
      <c r="M28" s="10" t="s">
        <v>35</v>
      </c>
    </row>
    <row r="29" spans="1:13" x14ac:dyDescent="0.25">
      <c r="A29" s="4" t="s">
        <v>57</v>
      </c>
      <c r="B29" s="5" t="s">
        <v>33</v>
      </c>
      <c r="C29" s="5" t="s">
        <v>34</v>
      </c>
      <c r="D29" s="5" t="s">
        <v>4</v>
      </c>
      <c r="E29" s="6">
        <v>441</v>
      </c>
      <c r="F29" s="7">
        <v>34969.75</v>
      </c>
      <c r="G29" s="7">
        <v>3496.31</v>
      </c>
      <c r="H29" s="8">
        <v>0.47</v>
      </c>
      <c r="I29" s="9">
        <v>0.51929999999999998</v>
      </c>
      <c r="J29" s="9">
        <v>0.1905</v>
      </c>
      <c r="K29" s="6">
        <v>84</v>
      </c>
      <c r="L29" s="6">
        <v>229</v>
      </c>
      <c r="M29" s="10" t="s">
        <v>35</v>
      </c>
    </row>
    <row r="30" spans="1:13" x14ac:dyDescent="0.25">
      <c r="A30" s="11" t="s">
        <v>58</v>
      </c>
      <c r="B30" s="12" t="s">
        <v>33</v>
      </c>
      <c r="C30" s="12" t="s">
        <v>34</v>
      </c>
      <c r="D30" s="12" t="s">
        <v>4</v>
      </c>
      <c r="E30" s="13">
        <v>61</v>
      </c>
      <c r="F30" s="14">
        <v>10369.39</v>
      </c>
      <c r="G30" s="14">
        <v>1810.07</v>
      </c>
      <c r="H30" s="15">
        <v>0.77</v>
      </c>
      <c r="I30" s="16">
        <v>0.68849999999999989</v>
      </c>
      <c r="J30" s="16">
        <v>0.1148</v>
      </c>
      <c r="K30" s="13">
        <v>7</v>
      </c>
      <c r="L30" s="13">
        <v>42</v>
      </c>
      <c r="M30" s="17" t="s">
        <v>59</v>
      </c>
    </row>
    <row r="31" spans="1:13" x14ac:dyDescent="0.25">
      <c r="A31" s="4" t="s">
        <v>60</v>
      </c>
      <c r="B31" s="5" t="s">
        <v>33</v>
      </c>
      <c r="C31" s="5" t="s">
        <v>34</v>
      </c>
      <c r="D31" s="5" t="s">
        <v>4</v>
      </c>
      <c r="E31" s="6">
        <v>1475</v>
      </c>
      <c r="F31" s="7">
        <v>77098.16</v>
      </c>
      <c r="G31" s="7">
        <v>8342.67</v>
      </c>
      <c r="H31" s="8">
        <v>0.55000000000000004</v>
      </c>
      <c r="I31" s="9">
        <v>0.54579999999999995</v>
      </c>
      <c r="J31" s="9">
        <v>0.16339999999999999</v>
      </c>
      <c r="K31" s="6">
        <v>241</v>
      </c>
      <c r="L31" s="6">
        <v>805</v>
      </c>
      <c r="M31" s="10" t="s">
        <v>35</v>
      </c>
    </row>
    <row r="32" spans="1:13" x14ac:dyDescent="0.25">
      <c r="A32" s="11" t="s">
        <v>61</v>
      </c>
      <c r="B32" s="12" t="s">
        <v>33</v>
      </c>
      <c r="C32" s="12" t="s">
        <v>34</v>
      </c>
      <c r="D32" s="12" t="s">
        <v>4</v>
      </c>
      <c r="E32" s="13">
        <v>1070</v>
      </c>
      <c r="F32" s="14">
        <v>116695.39</v>
      </c>
      <c r="G32" s="14">
        <v>12975.49</v>
      </c>
      <c r="H32" s="15">
        <v>0.62</v>
      </c>
      <c r="I32" s="16">
        <v>0.56259999999999999</v>
      </c>
      <c r="J32" s="16">
        <v>0.17480000000000001</v>
      </c>
      <c r="K32" s="13">
        <v>187</v>
      </c>
      <c r="L32" s="13">
        <v>602</v>
      </c>
      <c r="M32" s="10" t="s">
        <v>35</v>
      </c>
    </row>
    <row r="33" spans="1:13" x14ac:dyDescent="0.25">
      <c r="A33" s="4" t="s">
        <v>62</v>
      </c>
      <c r="B33" s="5" t="s">
        <v>33</v>
      </c>
      <c r="C33" s="5" t="s">
        <v>34</v>
      </c>
      <c r="D33" s="5" t="s">
        <v>4</v>
      </c>
      <c r="E33" s="6">
        <v>524</v>
      </c>
      <c r="F33" s="7">
        <v>107998</v>
      </c>
      <c r="G33" s="7">
        <v>12406.07</v>
      </c>
      <c r="H33" s="8">
        <v>0.57999999999999996</v>
      </c>
      <c r="I33" s="9">
        <v>0.55530000000000002</v>
      </c>
      <c r="J33" s="9">
        <v>0.17369999999999999</v>
      </c>
      <c r="K33" s="6">
        <v>91</v>
      </c>
      <c r="L33" s="6">
        <v>291</v>
      </c>
      <c r="M33" s="10" t="s">
        <v>35</v>
      </c>
    </row>
    <row r="34" spans="1:13" x14ac:dyDescent="0.25">
      <c r="A34" s="11" t="s">
        <v>63</v>
      </c>
      <c r="B34" s="12" t="s">
        <v>33</v>
      </c>
      <c r="C34" s="12" t="s">
        <v>34</v>
      </c>
      <c r="D34" s="12" t="s">
        <v>4</v>
      </c>
      <c r="E34" s="13">
        <v>362</v>
      </c>
      <c r="F34" s="14">
        <v>106080.48</v>
      </c>
      <c r="G34" s="14">
        <v>9493.6299999999992</v>
      </c>
      <c r="H34" s="15">
        <v>0.53</v>
      </c>
      <c r="I34" s="16">
        <v>0.55799999999999994</v>
      </c>
      <c r="J34" s="16">
        <v>0.16850000000000001</v>
      </c>
      <c r="K34" s="13">
        <v>61</v>
      </c>
      <c r="L34" s="13">
        <v>202</v>
      </c>
      <c r="M34" s="10" t="s">
        <v>35</v>
      </c>
    </row>
    <row r="35" spans="1:13" x14ac:dyDescent="0.25">
      <c r="A35" s="4" t="s">
        <v>64</v>
      </c>
      <c r="B35" s="5" t="s">
        <v>33</v>
      </c>
      <c r="C35" s="5" t="s">
        <v>34</v>
      </c>
      <c r="D35" s="5" t="s">
        <v>4</v>
      </c>
      <c r="E35" s="6">
        <v>614</v>
      </c>
      <c r="F35" s="7">
        <v>48360.73</v>
      </c>
      <c r="G35" s="7">
        <v>5397.43</v>
      </c>
      <c r="H35" s="8">
        <v>0.47</v>
      </c>
      <c r="I35" s="9">
        <v>0.53579999999999994</v>
      </c>
      <c r="J35" s="9">
        <v>0.16450000000000001</v>
      </c>
      <c r="K35" s="6">
        <v>101</v>
      </c>
      <c r="L35" s="6">
        <v>329</v>
      </c>
      <c r="M35" s="10" t="s">
        <v>35</v>
      </c>
    </row>
    <row r="36" spans="1:13" x14ac:dyDescent="0.25">
      <c r="A36" s="11" t="s">
        <v>65</v>
      </c>
      <c r="B36" s="12" t="s">
        <v>33</v>
      </c>
      <c r="C36" s="12" t="s">
        <v>34</v>
      </c>
      <c r="D36" s="12" t="s">
        <v>4</v>
      </c>
      <c r="E36" s="13">
        <v>440</v>
      </c>
      <c r="F36" s="14">
        <v>56848.42</v>
      </c>
      <c r="G36" s="14">
        <v>5980</v>
      </c>
      <c r="H36" s="15">
        <v>0.56000000000000005</v>
      </c>
      <c r="I36" s="16">
        <v>0.56140000000000001</v>
      </c>
      <c r="J36" s="16">
        <v>0.17269999999999999</v>
      </c>
      <c r="K36" s="13">
        <v>76</v>
      </c>
      <c r="L36" s="13">
        <v>247</v>
      </c>
      <c r="M36" s="10" t="s">
        <v>35</v>
      </c>
    </row>
    <row r="37" spans="1:13" x14ac:dyDescent="0.25">
      <c r="A37" s="4" t="s">
        <v>66</v>
      </c>
      <c r="B37" s="5" t="s">
        <v>33</v>
      </c>
      <c r="C37" s="5" t="s">
        <v>34</v>
      </c>
      <c r="D37" s="5" t="s">
        <v>4</v>
      </c>
      <c r="E37" s="6">
        <v>19298</v>
      </c>
      <c r="F37" s="7">
        <v>2888993.91</v>
      </c>
      <c r="G37" s="7">
        <v>318451.43</v>
      </c>
      <c r="H37" s="8">
        <v>0.56000000000000005</v>
      </c>
      <c r="I37" s="9">
        <v>0.54749999999999999</v>
      </c>
      <c r="J37" s="9">
        <v>0.17899999999999999</v>
      </c>
      <c r="K37" s="6">
        <v>3454</v>
      </c>
      <c r="L37" s="6">
        <v>10565</v>
      </c>
      <c r="M37" s="10" t="s">
        <v>35</v>
      </c>
    </row>
    <row r="38" spans="1:13" x14ac:dyDescent="0.25">
      <c r="A38" s="11" t="s">
        <v>67</v>
      </c>
      <c r="B38" s="12" t="s">
        <v>33</v>
      </c>
      <c r="C38" s="12" t="s">
        <v>34</v>
      </c>
      <c r="D38" s="12" t="s">
        <v>4</v>
      </c>
      <c r="E38" s="13">
        <v>384</v>
      </c>
      <c r="F38" s="14">
        <v>98797.58</v>
      </c>
      <c r="G38" s="14">
        <v>9045.84</v>
      </c>
      <c r="H38" s="15">
        <v>0.62</v>
      </c>
      <c r="I38" s="16">
        <v>0.53390000000000004</v>
      </c>
      <c r="J38" s="16">
        <v>0.17449999999999999</v>
      </c>
      <c r="K38" s="13">
        <v>67</v>
      </c>
      <c r="L38" s="13">
        <v>205</v>
      </c>
      <c r="M38" s="10" t="s">
        <v>35</v>
      </c>
    </row>
    <row r="39" spans="1:13" x14ac:dyDescent="0.25">
      <c r="A39" s="4" t="s">
        <v>68</v>
      </c>
      <c r="B39" s="5" t="s">
        <v>33</v>
      </c>
      <c r="C39" s="5" t="s">
        <v>34</v>
      </c>
      <c r="D39" s="5" t="s">
        <v>4</v>
      </c>
      <c r="E39" s="6">
        <v>343</v>
      </c>
      <c r="F39" s="7">
        <v>39464.79</v>
      </c>
      <c r="G39" s="7">
        <v>4364.29</v>
      </c>
      <c r="H39" s="8">
        <v>0.66</v>
      </c>
      <c r="I39" s="9">
        <v>0.60060000000000002</v>
      </c>
      <c r="J39" s="9">
        <v>0.1399</v>
      </c>
      <c r="K39" s="6">
        <v>48</v>
      </c>
      <c r="L39" s="6">
        <v>206</v>
      </c>
      <c r="M39" s="17" t="s">
        <v>59</v>
      </c>
    </row>
    <row r="40" spans="1:13" x14ac:dyDescent="0.25">
      <c r="A40" s="11" t="s">
        <v>69</v>
      </c>
      <c r="B40" s="12" t="s">
        <v>33</v>
      </c>
      <c r="C40" s="12" t="s">
        <v>34</v>
      </c>
      <c r="D40" s="12" t="s">
        <v>4</v>
      </c>
      <c r="E40" s="13">
        <v>208</v>
      </c>
      <c r="F40" s="14">
        <v>43856.800000000003</v>
      </c>
      <c r="G40" s="14">
        <v>2006.04</v>
      </c>
      <c r="H40" s="15">
        <v>0.51</v>
      </c>
      <c r="I40" s="16">
        <v>0.54330000000000001</v>
      </c>
      <c r="J40" s="16">
        <v>0.16350000000000001</v>
      </c>
      <c r="K40" s="13">
        <v>34</v>
      </c>
      <c r="L40" s="13">
        <v>113</v>
      </c>
      <c r="M40" s="10" t="s">
        <v>35</v>
      </c>
    </row>
    <row r="41" spans="1:13" x14ac:dyDescent="0.25">
      <c r="A41" s="4" t="s">
        <v>70</v>
      </c>
      <c r="B41" s="5" t="s">
        <v>33</v>
      </c>
      <c r="C41" s="5" t="s">
        <v>34</v>
      </c>
      <c r="D41" s="5" t="s">
        <v>4</v>
      </c>
      <c r="E41" s="6">
        <v>22246</v>
      </c>
      <c r="F41" s="7">
        <v>2891757.66</v>
      </c>
      <c r="G41" s="7">
        <v>311902.82</v>
      </c>
      <c r="H41" s="8">
        <v>0.56000000000000005</v>
      </c>
      <c r="I41" s="9">
        <v>0.54490000000000005</v>
      </c>
      <c r="J41" s="9">
        <v>0.18149999999999999</v>
      </c>
      <c r="K41" s="6">
        <v>4038</v>
      </c>
      <c r="L41" s="6">
        <v>12121</v>
      </c>
      <c r="M41" s="10" t="s">
        <v>35</v>
      </c>
    </row>
    <row r="42" spans="1:13" x14ac:dyDescent="0.25">
      <c r="A42" s="11" t="s">
        <v>71</v>
      </c>
      <c r="B42" s="12" t="s">
        <v>33</v>
      </c>
      <c r="C42" s="12" t="s">
        <v>34</v>
      </c>
      <c r="D42" s="12" t="s">
        <v>4</v>
      </c>
      <c r="E42" s="13">
        <v>283</v>
      </c>
      <c r="F42" s="14">
        <v>47035.8</v>
      </c>
      <c r="G42" s="14">
        <v>5517.99</v>
      </c>
      <c r="H42" s="15">
        <v>0.33</v>
      </c>
      <c r="I42" s="16">
        <v>0.47699999999999998</v>
      </c>
      <c r="J42" s="16">
        <v>0.19789999999999999</v>
      </c>
      <c r="K42" s="13">
        <v>56</v>
      </c>
      <c r="L42" s="13">
        <v>135</v>
      </c>
      <c r="M42" s="18" t="s">
        <v>72</v>
      </c>
    </row>
    <row r="43" spans="1:13" x14ac:dyDescent="0.25">
      <c r="A43" s="4" t="s">
        <v>73</v>
      </c>
      <c r="B43" s="5" t="s">
        <v>33</v>
      </c>
      <c r="C43" s="5" t="s">
        <v>34</v>
      </c>
      <c r="D43" s="5" t="s">
        <v>4</v>
      </c>
      <c r="E43" s="6">
        <v>434</v>
      </c>
      <c r="F43" s="7">
        <v>113122.1</v>
      </c>
      <c r="G43" s="7">
        <v>14436.32</v>
      </c>
      <c r="H43" s="8">
        <v>0.56999999999999995</v>
      </c>
      <c r="I43" s="9">
        <v>0.57140000000000002</v>
      </c>
      <c r="J43" s="9">
        <v>0.16589999999999999</v>
      </c>
      <c r="K43" s="6">
        <v>72</v>
      </c>
      <c r="L43" s="6">
        <v>248</v>
      </c>
      <c r="M43" s="10" t="s">
        <v>35</v>
      </c>
    </row>
    <row r="44" spans="1:13" x14ac:dyDescent="0.25">
      <c r="A44" s="11" t="s">
        <v>74</v>
      </c>
      <c r="B44" s="12" t="s">
        <v>33</v>
      </c>
      <c r="C44" s="12" t="s">
        <v>34</v>
      </c>
      <c r="D44" s="12" t="s">
        <v>4</v>
      </c>
      <c r="E44" s="13">
        <v>492</v>
      </c>
      <c r="F44" s="14">
        <v>41524.800000000003</v>
      </c>
      <c r="G44" s="14">
        <v>3589.26</v>
      </c>
      <c r="H44" s="15">
        <v>0.71</v>
      </c>
      <c r="I44" s="16">
        <v>0.58939999999999992</v>
      </c>
      <c r="J44" s="16">
        <v>0.185</v>
      </c>
      <c r="K44" s="13">
        <v>91</v>
      </c>
      <c r="L44" s="13">
        <v>290</v>
      </c>
      <c r="M44" s="10" t="s">
        <v>35</v>
      </c>
    </row>
    <row r="45" spans="1:13" x14ac:dyDescent="0.25">
      <c r="A45" s="4" t="s">
        <v>75</v>
      </c>
      <c r="B45" s="5" t="s">
        <v>33</v>
      </c>
      <c r="C45" s="5" t="s">
        <v>34</v>
      </c>
      <c r="D45" s="5" t="s">
        <v>4</v>
      </c>
      <c r="E45" s="6">
        <v>10984</v>
      </c>
      <c r="F45" s="7">
        <v>1309522.04</v>
      </c>
      <c r="G45" s="7">
        <v>129813.96</v>
      </c>
      <c r="H45" s="8">
        <v>0.57999999999999996</v>
      </c>
      <c r="I45" s="9">
        <v>0.55149999999999999</v>
      </c>
      <c r="J45" s="9">
        <v>0.1749</v>
      </c>
      <c r="K45" s="6">
        <v>1921</v>
      </c>
      <c r="L45" s="6">
        <v>6058</v>
      </c>
      <c r="M45" s="10" t="s">
        <v>35</v>
      </c>
    </row>
    <row r="46" spans="1:13" x14ac:dyDescent="0.25">
      <c r="A46" s="11" t="s">
        <v>76</v>
      </c>
      <c r="B46" s="12" t="s">
        <v>33</v>
      </c>
      <c r="C46" s="12" t="s">
        <v>34</v>
      </c>
      <c r="D46" s="12" t="s">
        <v>4</v>
      </c>
      <c r="E46" s="13">
        <v>138</v>
      </c>
      <c r="F46" s="14">
        <v>26477.05</v>
      </c>
      <c r="G46" s="14">
        <v>3901.95</v>
      </c>
      <c r="H46" s="15">
        <v>0.72</v>
      </c>
      <c r="I46" s="16">
        <v>0.54349999999999998</v>
      </c>
      <c r="J46" s="16">
        <v>0.23910000000000001</v>
      </c>
      <c r="K46" s="13">
        <v>33</v>
      </c>
      <c r="L46" s="13">
        <v>75</v>
      </c>
      <c r="M46" s="10" t="s">
        <v>35</v>
      </c>
    </row>
    <row r="47" spans="1:13" x14ac:dyDescent="0.25">
      <c r="A47" s="4" t="s">
        <v>77</v>
      </c>
      <c r="B47" s="5" t="s">
        <v>33</v>
      </c>
      <c r="C47" s="5" t="s">
        <v>34</v>
      </c>
      <c r="D47" s="5" t="s">
        <v>4</v>
      </c>
      <c r="E47" s="6">
        <v>357</v>
      </c>
      <c r="F47" s="7">
        <v>117006.75</v>
      </c>
      <c r="G47" s="7">
        <v>12518.61</v>
      </c>
      <c r="H47" s="8">
        <v>0.62</v>
      </c>
      <c r="I47" s="9">
        <v>0.55459999999999998</v>
      </c>
      <c r="J47" s="9">
        <v>0.15409999999999999</v>
      </c>
      <c r="K47" s="6">
        <v>55</v>
      </c>
      <c r="L47" s="6">
        <v>198</v>
      </c>
      <c r="M47" s="10" t="s">
        <v>35</v>
      </c>
    </row>
    <row r="48" spans="1:13" x14ac:dyDescent="0.25">
      <c r="A48" s="11" t="s">
        <v>78</v>
      </c>
      <c r="B48" s="12" t="s">
        <v>33</v>
      </c>
      <c r="C48" s="12" t="s">
        <v>34</v>
      </c>
      <c r="D48" s="12" t="s">
        <v>4</v>
      </c>
      <c r="E48" s="13">
        <v>111</v>
      </c>
      <c r="F48" s="14">
        <v>54895.53</v>
      </c>
      <c r="G48" s="14">
        <v>332.31</v>
      </c>
      <c r="H48" s="15">
        <v>0.67</v>
      </c>
      <c r="I48" s="16">
        <v>0.5766</v>
      </c>
      <c r="J48" s="16">
        <v>0.2072</v>
      </c>
      <c r="K48" s="13">
        <v>23</v>
      </c>
      <c r="L48" s="13">
        <v>64</v>
      </c>
      <c r="M48" s="10" t="s">
        <v>35</v>
      </c>
    </row>
    <row r="49" spans="1:13" x14ac:dyDescent="0.25">
      <c r="A49" s="4" t="s">
        <v>79</v>
      </c>
      <c r="B49" s="5" t="s">
        <v>33</v>
      </c>
      <c r="C49" s="5" t="s">
        <v>34</v>
      </c>
      <c r="D49" s="5" t="s">
        <v>4</v>
      </c>
      <c r="E49" s="6">
        <v>328</v>
      </c>
      <c r="F49" s="7">
        <v>44585.09</v>
      </c>
      <c r="G49" s="7">
        <v>5747.98</v>
      </c>
      <c r="H49" s="8">
        <v>0.65</v>
      </c>
      <c r="I49" s="9">
        <v>0.55789999999999995</v>
      </c>
      <c r="J49" s="9">
        <v>0.20119999999999999</v>
      </c>
      <c r="K49" s="6">
        <v>66</v>
      </c>
      <c r="L49" s="6">
        <v>183</v>
      </c>
      <c r="M49" s="10" t="s">
        <v>35</v>
      </c>
    </row>
    <row r="50" spans="1:13" x14ac:dyDescent="0.25">
      <c r="A50" s="11" t="s">
        <v>80</v>
      </c>
      <c r="B50" s="12" t="s">
        <v>33</v>
      </c>
      <c r="C50" s="12" t="s">
        <v>34</v>
      </c>
      <c r="D50" s="12" t="s">
        <v>4</v>
      </c>
      <c r="E50" s="13">
        <v>529</v>
      </c>
      <c r="F50" s="14">
        <v>6104.66</v>
      </c>
      <c r="G50" s="14">
        <v>900.71</v>
      </c>
      <c r="H50" s="15">
        <v>0.55000000000000004</v>
      </c>
      <c r="I50" s="16">
        <v>0.55010000000000003</v>
      </c>
      <c r="J50" s="16">
        <v>0.17580000000000001</v>
      </c>
      <c r="K50" s="13">
        <v>93</v>
      </c>
      <c r="L50" s="13">
        <v>291</v>
      </c>
      <c r="M50" s="10" t="s">
        <v>35</v>
      </c>
    </row>
    <row r="51" spans="1:13" x14ac:dyDescent="0.25">
      <c r="A51" s="4" t="s">
        <v>81</v>
      </c>
      <c r="B51" s="5" t="s">
        <v>33</v>
      </c>
      <c r="C51" s="5" t="s">
        <v>34</v>
      </c>
      <c r="D51" s="5" t="s">
        <v>4</v>
      </c>
      <c r="E51" s="6">
        <v>974</v>
      </c>
      <c r="F51" s="7">
        <v>68721.78</v>
      </c>
      <c r="G51" s="7">
        <v>7915.37</v>
      </c>
      <c r="H51" s="8">
        <v>0.63</v>
      </c>
      <c r="I51" s="9">
        <v>0.55649999999999999</v>
      </c>
      <c r="J51" s="9">
        <v>0.15609999999999999</v>
      </c>
      <c r="K51" s="6">
        <v>152</v>
      </c>
      <c r="L51" s="6">
        <v>542</v>
      </c>
      <c r="M51" s="10" t="s">
        <v>35</v>
      </c>
    </row>
    <row r="52" spans="1:13" x14ac:dyDescent="0.25">
      <c r="A52" s="11" t="s">
        <v>82</v>
      </c>
      <c r="B52" s="12" t="s">
        <v>33</v>
      </c>
      <c r="C52" s="12" t="s">
        <v>34</v>
      </c>
      <c r="D52" s="12" t="s">
        <v>4</v>
      </c>
      <c r="E52" s="13">
        <v>838</v>
      </c>
      <c r="F52" s="14">
        <v>33310.5</v>
      </c>
      <c r="G52" s="14">
        <v>2717.52</v>
      </c>
      <c r="H52" s="15">
        <v>0.57999999999999996</v>
      </c>
      <c r="I52" s="16">
        <v>0.54299999999999993</v>
      </c>
      <c r="J52" s="16">
        <v>0.18970000000000001</v>
      </c>
      <c r="K52" s="13">
        <v>159</v>
      </c>
      <c r="L52" s="13">
        <v>455</v>
      </c>
      <c r="M52" s="10" t="s">
        <v>35</v>
      </c>
    </row>
    <row r="53" spans="1:13" x14ac:dyDescent="0.25">
      <c r="A53" s="4" t="s">
        <v>83</v>
      </c>
      <c r="B53" s="5" t="s">
        <v>33</v>
      </c>
      <c r="C53" s="5" t="s">
        <v>34</v>
      </c>
      <c r="D53" s="5" t="s">
        <v>4</v>
      </c>
      <c r="E53" s="6">
        <v>15540</v>
      </c>
      <c r="F53" s="7">
        <v>3113844.68</v>
      </c>
      <c r="G53" s="7">
        <v>325146.96000000002</v>
      </c>
      <c r="H53" s="8">
        <v>0.56999999999999995</v>
      </c>
      <c r="I53" s="9">
        <v>0.54810000000000003</v>
      </c>
      <c r="J53" s="9">
        <v>0.1812</v>
      </c>
      <c r="K53" s="6">
        <v>2816</v>
      </c>
      <c r="L53" s="6">
        <v>8517</v>
      </c>
      <c r="M53" s="10" t="s">
        <v>35</v>
      </c>
    </row>
    <row r="54" spans="1:13" x14ac:dyDescent="0.25">
      <c r="A54" s="11" t="s">
        <v>84</v>
      </c>
      <c r="B54" s="12" t="s">
        <v>33</v>
      </c>
      <c r="C54" s="12" t="s">
        <v>34</v>
      </c>
      <c r="D54" s="12" t="s">
        <v>4</v>
      </c>
      <c r="E54" s="13">
        <v>21035</v>
      </c>
      <c r="F54" s="14">
        <v>3147800</v>
      </c>
      <c r="G54" s="14">
        <v>350421.03</v>
      </c>
      <c r="H54" s="15">
        <v>0.56000000000000005</v>
      </c>
      <c r="I54" s="16">
        <v>0.54559999999999997</v>
      </c>
      <c r="J54" s="16">
        <v>0.17849999999999999</v>
      </c>
      <c r="K54" s="13">
        <v>3754</v>
      </c>
      <c r="L54" s="13">
        <v>11476</v>
      </c>
      <c r="M54" s="10" t="s">
        <v>35</v>
      </c>
    </row>
    <row r="55" spans="1:13" x14ac:dyDescent="0.25">
      <c r="A55" s="4" t="s">
        <v>85</v>
      </c>
      <c r="B55" s="5" t="s">
        <v>33</v>
      </c>
      <c r="C55" s="5" t="s">
        <v>34</v>
      </c>
      <c r="D55" s="5" t="s">
        <v>4</v>
      </c>
      <c r="E55" s="6">
        <v>650</v>
      </c>
      <c r="F55" s="7">
        <v>140283</v>
      </c>
      <c r="G55" s="7">
        <v>19102.849999999999</v>
      </c>
      <c r="H55" s="8">
        <v>0.65</v>
      </c>
      <c r="I55" s="9">
        <v>0.56459999999999999</v>
      </c>
      <c r="J55" s="9">
        <v>0.18310000000000001</v>
      </c>
      <c r="K55" s="6">
        <v>119</v>
      </c>
      <c r="L55" s="6">
        <v>367</v>
      </c>
      <c r="M55" s="10" t="s">
        <v>35</v>
      </c>
    </row>
    <row r="56" spans="1:13" x14ac:dyDescent="0.25">
      <c r="A56" s="11" t="s">
        <v>86</v>
      </c>
      <c r="B56" s="12" t="s">
        <v>33</v>
      </c>
      <c r="C56" s="12" t="s">
        <v>34</v>
      </c>
      <c r="D56" s="12" t="s">
        <v>4</v>
      </c>
      <c r="E56" s="13">
        <v>181</v>
      </c>
      <c r="F56" s="14">
        <v>44545.97</v>
      </c>
      <c r="G56" s="14">
        <v>5028.6400000000003</v>
      </c>
      <c r="H56" s="15">
        <v>0.56000000000000005</v>
      </c>
      <c r="I56" s="16">
        <v>0.53590000000000004</v>
      </c>
      <c r="J56" s="16">
        <v>0.14360000000000001</v>
      </c>
      <c r="K56" s="13">
        <v>26</v>
      </c>
      <c r="L56" s="13">
        <v>97</v>
      </c>
      <c r="M56" s="10" t="s">
        <v>35</v>
      </c>
    </row>
    <row r="57" spans="1:13" ht="18" customHeight="1" x14ac:dyDescent="0.25">
      <c r="A57" s="19" t="s">
        <v>87</v>
      </c>
      <c r="B57" s="20"/>
      <c r="C57" s="20"/>
      <c r="D57" s="20"/>
      <c r="E57" s="21">
        <f>SUM(E7:E56)</f>
        <v>180519</v>
      </c>
      <c r="F57" s="22">
        <f>SUM(F7:F56)</f>
        <v>36784734.99000001</v>
      </c>
      <c r="G57" s="22">
        <f>SUM(G7:G56)</f>
        <v>3966902.9799999995</v>
      </c>
      <c r="H57" s="23">
        <f>AVERAGE(H7:H56)</f>
        <v>0.57719999999999982</v>
      </c>
      <c r="I57" s="24">
        <f>AVERAGE(I7:I56)</f>
        <v>0.55370999999999992</v>
      </c>
      <c r="J57" s="24">
        <f>AVERAGE(J7:J56)</f>
        <v>0.17326199999999997</v>
      </c>
      <c r="K57" s="21">
        <f>SUM(K7:K56)</f>
        <v>32196</v>
      </c>
      <c r="L57" s="21">
        <f>SUM(L7:L56)</f>
        <v>98977</v>
      </c>
      <c r="M57" s="20"/>
    </row>
  </sheetData>
  <autoFilter ref="A6:M56" xr:uid="{00000000-0009-0000-0000-000000000000}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6" customWidth="1"/>
    <col min="2" max="2" width="28" customWidth="1"/>
    <col min="3" max="4" width="16" customWidth="1"/>
    <col min="5" max="5" width="10" customWidth="1"/>
    <col min="6" max="6" width="11" customWidth="1"/>
    <col min="7" max="8" width="12" customWidth="1"/>
  </cols>
  <sheetData>
    <row r="1" spans="1:8" ht="26.1" customHeight="1" x14ac:dyDescent="0.25">
      <c r="A1" s="44" t="s">
        <v>88</v>
      </c>
      <c r="B1" s="41"/>
      <c r="C1" s="41"/>
      <c r="D1" s="41"/>
      <c r="E1" s="41"/>
      <c r="F1" s="41"/>
      <c r="G1" s="41"/>
      <c r="H1" s="41"/>
    </row>
    <row r="3" spans="1:8" x14ac:dyDescent="0.25">
      <c r="A3" s="42" t="s">
        <v>89</v>
      </c>
      <c r="B3" s="41"/>
      <c r="C3" s="41"/>
      <c r="D3" s="41"/>
      <c r="E3" s="41"/>
      <c r="F3" s="41"/>
      <c r="G3" s="41"/>
      <c r="H3" s="41"/>
    </row>
    <row r="4" spans="1:8" x14ac:dyDescent="0.25">
      <c r="A4" s="3" t="s">
        <v>90</v>
      </c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96</v>
      </c>
      <c r="H4" s="3" t="s">
        <v>97</v>
      </c>
    </row>
    <row r="5" spans="1:8" x14ac:dyDescent="0.25">
      <c r="A5" s="5">
        <v>1</v>
      </c>
      <c r="B5" s="4" t="s">
        <v>53</v>
      </c>
      <c r="C5" s="25">
        <v>6929653.6900000004</v>
      </c>
      <c r="D5" s="25">
        <v>756220.77</v>
      </c>
      <c r="E5" s="26">
        <v>17325</v>
      </c>
      <c r="F5" s="27">
        <v>0.56000000000000005</v>
      </c>
      <c r="G5" s="28">
        <v>0.54930000000000001</v>
      </c>
      <c r="H5" s="28">
        <v>0.17580000000000001</v>
      </c>
    </row>
    <row r="6" spans="1:8" x14ac:dyDescent="0.25">
      <c r="A6" s="12">
        <v>2</v>
      </c>
      <c r="B6" s="11" t="s">
        <v>47</v>
      </c>
      <c r="C6" s="29">
        <v>4431942.78</v>
      </c>
      <c r="D6" s="29">
        <v>494636.92</v>
      </c>
      <c r="E6" s="30">
        <v>24551</v>
      </c>
      <c r="F6" s="31">
        <v>0.57999999999999996</v>
      </c>
      <c r="G6" s="32">
        <v>0.54969999999999997</v>
      </c>
      <c r="H6" s="32">
        <v>0.1812</v>
      </c>
    </row>
    <row r="7" spans="1:8" x14ac:dyDescent="0.25">
      <c r="A7" s="5">
        <v>3</v>
      </c>
      <c r="B7" s="4" t="s">
        <v>44</v>
      </c>
      <c r="C7" s="25">
        <v>4118425.57</v>
      </c>
      <c r="D7" s="25">
        <v>427455.57</v>
      </c>
      <c r="E7" s="26">
        <v>13729</v>
      </c>
      <c r="F7" s="27">
        <v>0.55000000000000004</v>
      </c>
      <c r="G7" s="28">
        <v>0.54530000000000001</v>
      </c>
      <c r="H7" s="28">
        <v>0.18379999999999999</v>
      </c>
    </row>
    <row r="8" spans="1:8" x14ac:dyDescent="0.25">
      <c r="A8" s="12">
        <v>4</v>
      </c>
      <c r="B8" s="11" t="s">
        <v>45</v>
      </c>
      <c r="C8" s="29">
        <v>3694843.2</v>
      </c>
      <c r="D8" s="29">
        <v>383011.1</v>
      </c>
      <c r="E8" s="30">
        <v>12487</v>
      </c>
      <c r="F8" s="31">
        <v>0.55000000000000004</v>
      </c>
      <c r="G8" s="32">
        <v>0.54500000000000004</v>
      </c>
      <c r="H8" s="32">
        <v>0.1779</v>
      </c>
    </row>
    <row r="9" spans="1:8" x14ac:dyDescent="0.25">
      <c r="A9" s="5">
        <v>5</v>
      </c>
      <c r="B9" s="4" t="s">
        <v>84</v>
      </c>
      <c r="C9" s="25">
        <v>3147800</v>
      </c>
      <c r="D9" s="25">
        <v>350421.03</v>
      </c>
      <c r="E9" s="26">
        <v>21035</v>
      </c>
      <c r="F9" s="27">
        <v>0.56000000000000005</v>
      </c>
      <c r="G9" s="28">
        <v>0.54559999999999997</v>
      </c>
      <c r="H9" s="28">
        <v>0.17849999999999999</v>
      </c>
    </row>
    <row r="10" spans="1:8" x14ac:dyDescent="0.25">
      <c r="A10" s="12">
        <v>6</v>
      </c>
      <c r="B10" s="11" t="s">
        <v>83</v>
      </c>
      <c r="C10" s="29">
        <v>3113844.68</v>
      </c>
      <c r="D10" s="29">
        <v>325146.96000000002</v>
      </c>
      <c r="E10" s="30">
        <v>15540</v>
      </c>
      <c r="F10" s="31">
        <v>0.56999999999999995</v>
      </c>
      <c r="G10" s="32">
        <v>0.54810000000000003</v>
      </c>
      <c r="H10" s="32">
        <v>0.1812</v>
      </c>
    </row>
    <row r="11" spans="1:8" x14ac:dyDescent="0.25">
      <c r="A11" s="5">
        <v>7</v>
      </c>
      <c r="B11" s="4" t="s">
        <v>70</v>
      </c>
      <c r="C11" s="25">
        <v>2891757.66</v>
      </c>
      <c r="D11" s="25">
        <v>311902.82</v>
      </c>
      <c r="E11" s="26">
        <v>22246</v>
      </c>
      <c r="F11" s="27">
        <v>0.56000000000000005</v>
      </c>
      <c r="G11" s="28">
        <v>0.54490000000000005</v>
      </c>
      <c r="H11" s="28">
        <v>0.18149999999999999</v>
      </c>
    </row>
    <row r="12" spans="1:8" x14ac:dyDescent="0.25">
      <c r="A12" s="12">
        <v>8</v>
      </c>
      <c r="B12" s="11" t="s">
        <v>66</v>
      </c>
      <c r="C12" s="29">
        <v>2888993.91</v>
      </c>
      <c r="D12" s="29">
        <v>318451.43</v>
      </c>
      <c r="E12" s="30">
        <v>19298</v>
      </c>
      <c r="F12" s="31">
        <v>0.56000000000000005</v>
      </c>
      <c r="G12" s="32">
        <v>0.54749999999999999</v>
      </c>
      <c r="H12" s="32">
        <v>0.17899999999999999</v>
      </c>
    </row>
    <row r="13" spans="1:8" x14ac:dyDescent="0.25">
      <c r="A13" s="5">
        <v>9</v>
      </c>
      <c r="B13" s="4" t="s">
        <v>75</v>
      </c>
      <c r="C13" s="25">
        <v>1309522.04</v>
      </c>
      <c r="D13" s="25">
        <v>129813.96</v>
      </c>
      <c r="E13" s="26">
        <v>10984</v>
      </c>
      <c r="F13" s="27">
        <v>0.57999999999999996</v>
      </c>
      <c r="G13" s="28">
        <v>0.55149999999999999</v>
      </c>
      <c r="H13" s="28">
        <v>0.1749</v>
      </c>
    </row>
    <row r="14" spans="1:8" x14ac:dyDescent="0.25">
      <c r="A14" s="12">
        <v>10</v>
      </c>
      <c r="B14" s="11" t="s">
        <v>48</v>
      </c>
      <c r="C14" s="29">
        <v>663000</v>
      </c>
      <c r="D14" s="29">
        <v>69656.81</v>
      </c>
      <c r="E14" s="30">
        <v>442</v>
      </c>
      <c r="F14" s="31">
        <v>0.45</v>
      </c>
      <c r="G14" s="32">
        <v>0.50680000000000003</v>
      </c>
      <c r="H14" s="32">
        <v>0.19</v>
      </c>
    </row>
    <row r="17" spans="1:8" x14ac:dyDescent="0.25">
      <c r="A17" s="43" t="s">
        <v>98</v>
      </c>
      <c r="B17" s="41"/>
      <c r="C17" s="41"/>
      <c r="D17" s="41"/>
      <c r="E17" s="41"/>
      <c r="F17" s="41"/>
      <c r="G17" s="41"/>
      <c r="H17" s="41"/>
    </row>
    <row r="18" spans="1:8" x14ac:dyDescent="0.25">
      <c r="A18" s="33" t="s">
        <v>90</v>
      </c>
      <c r="B18" s="33" t="s">
        <v>91</v>
      </c>
      <c r="C18" s="33" t="s">
        <v>92</v>
      </c>
      <c r="D18" s="33" t="s">
        <v>93</v>
      </c>
      <c r="E18" s="33" t="s">
        <v>94</v>
      </c>
      <c r="F18" s="33" t="s">
        <v>95</v>
      </c>
      <c r="G18" s="33" t="s">
        <v>96</v>
      </c>
      <c r="H18" s="33" t="s">
        <v>97</v>
      </c>
    </row>
    <row r="19" spans="1:8" x14ac:dyDescent="0.25">
      <c r="A19" s="34">
        <v>1</v>
      </c>
      <c r="B19" s="35" t="s">
        <v>58</v>
      </c>
      <c r="C19" s="36">
        <v>10369.39</v>
      </c>
      <c r="D19" s="36">
        <v>1810.07</v>
      </c>
      <c r="E19" s="37">
        <v>61</v>
      </c>
      <c r="F19" s="38">
        <v>0.77</v>
      </c>
      <c r="G19" s="39">
        <v>0.68849999999999989</v>
      </c>
      <c r="H19" s="39">
        <v>0.1148</v>
      </c>
    </row>
    <row r="20" spans="1:8" x14ac:dyDescent="0.25">
      <c r="A20" s="12">
        <v>2</v>
      </c>
      <c r="B20" s="11" t="s">
        <v>68</v>
      </c>
      <c r="C20" s="29">
        <v>39464.79</v>
      </c>
      <c r="D20" s="29">
        <v>4364.29</v>
      </c>
      <c r="E20" s="30">
        <v>343</v>
      </c>
      <c r="F20" s="31">
        <v>0.66</v>
      </c>
      <c r="G20" s="32">
        <v>0.60060000000000002</v>
      </c>
      <c r="H20" s="32">
        <v>0.1399</v>
      </c>
    </row>
    <row r="21" spans="1:8" x14ac:dyDescent="0.25">
      <c r="A21" s="34">
        <v>3</v>
      </c>
      <c r="B21" s="35" t="s">
        <v>74</v>
      </c>
      <c r="C21" s="36">
        <v>41524.800000000003</v>
      </c>
      <c r="D21" s="36">
        <v>3589.26</v>
      </c>
      <c r="E21" s="37">
        <v>492</v>
      </c>
      <c r="F21" s="38">
        <v>0.71</v>
      </c>
      <c r="G21" s="39">
        <v>0.58939999999999992</v>
      </c>
      <c r="H21" s="39">
        <v>0.185</v>
      </c>
    </row>
    <row r="22" spans="1:8" x14ac:dyDescent="0.25">
      <c r="A22" s="12">
        <v>4</v>
      </c>
      <c r="B22" s="11" t="s">
        <v>43</v>
      </c>
      <c r="C22" s="29">
        <v>267607.69</v>
      </c>
      <c r="D22" s="29">
        <v>30289.8</v>
      </c>
      <c r="E22" s="30">
        <v>592</v>
      </c>
      <c r="F22" s="31">
        <v>0.65</v>
      </c>
      <c r="G22" s="32">
        <v>0.58109999999999995</v>
      </c>
      <c r="H22" s="32">
        <v>0.15540000000000001</v>
      </c>
    </row>
    <row r="23" spans="1:8" x14ac:dyDescent="0.25">
      <c r="A23" s="34">
        <v>5</v>
      </c>
      <c r="B23" s="35" t="s">
        <v>78</v>
      </c>
      <c r="C23" s="36">
        <v>54895.53</v>
      </c>
      <c r="D23" s="36">
        <v>332.31</v>
      </c>
      <c r="E23" s="37">
        <v>111</v>
      </c>
      <c r="F23" s="38">
        <v>0.67</v>
      </c>
      <c r="G23" s="39">
        <v>0.5766</v>
      </c>
      <c r="H23" s="39">
        <v>0.2072</v>
      </c>
    </row>
    <row r="24" spans="1:8" x14ac:dyDescent="0.25">
      <c r="A24" s="12">
        <v>6</v>
      </c>
      <c r="B24" s="11" t="s">
        <v>36</v>
      </c>
      <c r="C24" s="29">
        <v>20597.939999999999</v>
      </c>
      <c r="D24" s="29">
        <v>714.43</v>
      </c>
      <c r="E24" s="30">
        <v>68</v>
      </c>
      <c r="F24" s="31">
        <v>0.66</v>
      </c>
      <c r="G24" s="32">
        <v>0.57350000000000001</v>
      </c>
      <c r="H24" s="32">
        <v>0.17649999999999999</v>
      </c>
    </row>
    <row r="25" spans="1:8" x14ac:dyDescent="0.25">
      <c r="A25" s="34">
        <v>7</v>
      </c>
      <c r="B25" s="35" t="s">
        <v>73</v>
      </c>
      <c r="C25" s="36">
        <v>113122.1</v>
      </c>
      <c r="D25" s="36">
        <v>14436.32</v>
      </c>
      <c r="E25" s="37">
        <v>434</v>
      </c>
      <c r="F25" s="38">
        <v>0.56999999999999995</v>
      </c>
      <c r="G25" s="39">
        <v>0.57140000000000002</v>
      </c>
      <c r="H25" s="39">
        <v>0.16589999999999999</v>
      </c>
    </row>
    <row r="26" spans="1:8" x14ac:dyDescent="0.25">
      <c r="A26" s="12">
        <v>8</v>
      </c>
      <c r="B26" s="11" t="s">
        <v>32</v>
      </c>
      <c r="C26" s="29">
        <v>133671.51</v>
      </c>
      <c r="D26" s="29">
        <v>16643.52</v>
      </c>
      <c r="E26" s="30">
        <v>1780</v>
      </c>
      <c r="F26" s="31">
        <v>0.59</v>
      </c>
      <c r="G26" s="32">
        <v>0.56969999999999998</v>
      </c>
      <c r="H26" s="32">
        <v>0.15559999999999999</v>
      </c>
    </row>
    <row r="27" spans="1:8" x14ac:dyDescent="0.25">
      <c r="A27" s="34">
        <v>9</v>
      </c>
      <c r="B27" s="35" t="s">
        <v>54</v>
      </c>
      <c r="C27" s="36">
        <v>35601.440000000002</v>
      </c>
      <c r="D27" s="36">
        <v>5258.39</v>
      </c>
      <c r="E27" s="37">
        <v>309</v>
      </c>
      <c r="F27" s="38">
        <v>0.61</v>
      </c>
      <c r="G27" s="39">
        <v>0.5696</v>
      </c>
      <c r="H27" s="39">
        <v>0.16500000000000001</v>
      </c>
    </row>
    <row r="28" spans="1:8" x14ac:dyDescent="0.25">
      <c r="A28" s="12">
        <v>10</v>
      </c>
      <c r="B28" s="11" t="s">
        <v>40</v>
      </c>
      <c r="C28" s="29">
        <v>12587.4</v>
      </c>
      <c r="D28" s="29">
        <v>883.01</v>
      </c>
      <c r="E28" s="30">
        <v>405</v>
      </c>
      <c r="F28" s="31">
        <v>0.53</v>
      </c>
      <c r="G28" s="32">
        <v>0.56540000000000001</v>
      </c>
      <c r="H28" s="32">
        <v>0.1852</v>
      </c>
    </row>
  </sheetData>
  <mergeCells count="3">
    <mergeCell ref="A3:H3"/>
    <mergeCell ref="A17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selection sqref="A1:F1"/>
    </sheetView>
  </sheetViews>
  <sheetFormatPr defaultRowHeight="15" x14ac:dyDescent="0.25"/>
  <cols>
    <col min="1" max="1" width="4" customWidth="1"/>
    <col min="2" max="2" width="14" customWidth="1"/>
    <col min="3" max="4" width="4" customWidth="1"/>
    <col min="5" max="5" width="14" customWidth="1"/>
    <col min="6" max="6" width="4" customWidth="1"/>
  </cols>
  <sheetData>
    <row r="1" spans="1:6" ht="27.95" customHeight="1" x14ac:dyDescent="0.25">
      <c r="A1" s="40" t="s">
        <v>99</v>
      </c>
      <c r="B1" s="41"/>
      <c r="C1" s="41"/>
      <c r="D1" s="41"/>
      <c r="E1" s="41"/>
      <c r="F1" s="41"/>
    </row>
    <row r="3" spans="1:6" ht="18" customHeight="1" x14ac:dyDescent="0.25">
      <c r="A3" s="51" t="s">
        <v>100</v>
      </c>
      <c r="B3" s="41"/>
      <c r="C3" s="41"/>
      <c r="D3" s="57" t="s">
        <v>101</v>
      </c>
      <c r="E3" s="41"/>
      <c r="F3" s="41"/>
    </row>
    <row r="4" spans="1:6" ht="18" customHeight="1" x14ac:dyDescent="0.25">
      <c r="A4" s="64" t="s">
        <v>102</v>
      </c>
      <c r="B4" s="41"/>
      <c r="C4" s="41"/>
      <c r="D4" s="60" t="s">
        <v>103</v>
      </c>
      <c r="E4" s="41"/>
      <c r="F4" s="41"/>
    </row>
    <row r="5" spans="1:6" ht="18" customHeight="1" x14ac:dyDescent="0.25">
      <c r="A5" s="41"/>
      <c r="B5" s="41"/>
      <c r="C5" s="41"/>
      <c r="D5" s="41"/>
      <c r="E5" s="41"/>
      <c r="F5" s="41"/>
    </row>
    <row r="6" spans="1:6" ht="18" customHeight="1" x14ac:dyDescent="0.25">
      <c r="A6" s="62" t="s">
        <v>104</v>
      </c>
      <c r="B6" s="41"/>
      <c r="C6" s="41"/>
      <c r="D6" s="67" t="s">
        <v>105</v>
      </c>
      <c r="E6" s="41"/>
      <c r="F6" s="41"/>
    </row>
    <row r="7" spans="1:6" ht="18" customHeight="1" x14ac:dyDescent="0.25"/>
    <row r="8" spans="1:6" ht="18" customHeight="1" x14ac:dyDescent="0.25">
      <c r="A8" s="55" t="s">
        <v>106</v>
      </c>
      <c r="B8" s="41"/>
      <c r="C8" s="41"/>
      <c r="D8" s="58" t="s">
        <v>107</v>
      </c>
      <c r="E8" s="41"/>
      <c r="F8" s="41"/>
    </row>
    <row r="9" spans="1:6" ht="18" customHeight="1" x14ac:dyDescent="0.25">
      <c r="A9" s="52" t="s">
        <v>108</v>
      </c>
      <c r="B9" s="41"/>
      <c r="C9" s="41"/>
      <c r="D9" s="65" t="s">
        <v>109</v>
      </c>
      <c r="E9" s="41"/>
      <c r="F9" s="41"/>
    </row>
    <row r="10" spans="1:6" ht="18" customHeight="1" x14ac:dyDescent="0.25">
      <c r="A10" s="41"/>
      <c r="B10" s="41"/>
      <c r="C10" s="41"/>
      <c r="D10" s="41"/>
      <c r="E10" s="41"/>
      <c r="F10" s="41"/>
    </row>
    <row r="11" spans="1:6" ht="18" customHeight="1" x14ac:dyDescent="0.25">
      <c r="A11" s="61" t="s">
        <v>110</v>
      </c>
      <c r="B11" s="41"/>
      <c r="C11" s="41"/>
      <c r="D11" s="45" t="s">
        <v>111</v>
      </c>
      <c r="E11" s="41"/>
      <c r="F11" s="41"/>
    </row>
    <row r="12" spans="1:6" ht="18" customHeight="1" x14ac:dyDescent="0.25"/>
    <row r="13" spans="1:6" ht="18" customHeight="1" x14ac:dyDescent="0.25">
      <c r="A13" s="59" t="s">
        <v>112</v>
      </c>
      <c r="B13" s="41"/>
      <c r="C13" s="41"/>
      <c r="D13" s="46" t="s">
        <v>113</v>
      </c>
      <c r="E13" s="41"/>
      <c r="F13" s="41"/>
    </row>
    <row r="14" spans="1:6" ht="18" customHeight="1" x14ac:dyDescent="0.25">
      <c r="A14" s="63" t="s">
        <v>109</v>
      </c>
      <c r="B14" s="41"/>
      <c r="C14" s="41"/>
      <c r="D14" s="48" t="s">
        <v>114</v>
      </c>
      <c r="E14" s="41"/>
      <c r="F14" s="41"/>
    </row>
    <row r="15" spans="1:6" ht="18" customHeight="1" x14ac:dyDescent="0.25">
      <c r="A15" s="41"/>
      <c r="B15" s="41"/>
      <c r="C15" s="41"/>
      <c r="D15" s="41"/>
      <c r="E15" s="41"/>
      <c r="F15" s="41"/>
    </row>
    <row r="16" spans="1:6" ht="18" customHeight="1" x14ac:dyDescent="0.25">
      <c r="A16" s="68" t="s">
        <v>115</v>
      </c>
      <c r="B16" s="41"/>
      <c r="C16" s="41"/>
      <c r="D16" s="54" t="s">
        <v>116</v>
      </c>
      <c r="E16" s="41"/>
      <c r="F16" s="41"/>
    </row>
    <row r="17" spans="1:6" ht="18" customHeight="1" x14ac:dyDescent="0.25"/>
    <row r="18" spans="1:6" ht="18" customHeight="1" x14ac:dyDescent="0.25">
      <c r="A18" s="50" t="s">
        <v>117</v>
      </c>
      <c r="B18" s="41"/>
      <c r="C18" s="41"/>
      <c r="D18" s="56" t="s">
        <v>118</v>
      </c>
      <c r="E18" s="41"/>
      <c r="F18" s="41"/>
    </row>
    <row r="19" spans="1:6" ht="18" customHeight="1" x14ac:dyDescent="0.25">
      <c r="A19" s="47" t="s">
        <v>119</v>
      </c>
      <c r="B19" s="41"/>
      <c r="C19" s="41"/>
      <c r="D19" s="49" t="s">
        <v>120</v>
      </c>
      <c r="E19" s="41"/>
      <c r="F19" s="41"/>
    </row>
    <row r="20" spans="1:6" ht="18" customHeight="1" x14ac:dyDescent="0.25">
      <c r="A20" s="41"/>
      <c r="B20" s="41"/>
      <c r="C20" s="41"/>
      <c r="D20" s="41"/>
      <c r="E20" s="41"/>
      <c r="F20" s="41"/>
    </row>
    <row r="21" spans="1:6" ht="18" customHeight="1" x14ac:dyDescent="0.25">
      <c r="A21" s="53" t="s">
        <v>121</v>
      </c>
      <c r="B21" s="41"/>
      <c r="C21" s="41"/>
      <c r="D21" s="66" t="s">
        <v>122</v>
      </c>
      <c r="E21" s="41"/>
      <c r="F21" s="41"/>
    </row>
    <row r="22" spans="1:6" ht="18" customHeight="1" x14ac:dyDescent="0.25"/>
    <row r="23" spans="1:6" ht="18" customHeight="1" x14ac:dyDescent="0.25"/>
  </sheetData>
  <mergeCells count="25">
    <mergeCell ref="A1:F1"/>
    <mergeCell ref="A6:C6"/>
    <mergeCell ref="A14:C15"/>
    <mergeCell ref="A4:C5"/>
    <mergeCell ref="D9:F10"/>
    <mergeCell ref="D6:F6"/>
    <mergeCell ref="A3:C3"/>
    <mergeCell ref="A9:C10"/>
    <mergeCell ref="A21:C21"/>
    <mergeCell ref="D16:F16"/>
    <mergeCell ref="A8:C8"/>
    <mergeCell ref="D18:F18"/>
    <mergeCell ref="D3:F3"/>
    <mergeCell ref="D8:F8"/>
    <mergeCell ref="A13:C13"/>
    <mergeCell ref="D4:F5"/>
    <mergeCell ref="A11:C11"/>
    <mergeCell ref="D21:F21"/>
    <mergeCell ref="A16:C16"/>
    <mergeCell ref="D11:F11"/>
    <mergeCell ref="D13:F13"/>
    <mergeCell ref="A19:C20"/>
    <mergeCell ref="D14:F15"/>
    <mergeCell ref="D19:F20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SAP_MM60_Export</vt:lpstr>
      <vt:lpstr>Pivot_Analysis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Ruzgar Serin</cp:lastModifiedBy>
  <dcterms:created xsi:type="dcterms:W3CDTF">2026-06-01T10:48:29Z</dcterms:created>
  <dcterms:modified xsi:type="dcterms:W3CDTF">2026-06-01T11:02:42Z</dcterms:modified>
</cp:coreProperties>
</file>